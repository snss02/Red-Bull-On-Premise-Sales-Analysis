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0000001_{D49466E0-A76A-491B-BD31-495F6C4259EE}" xr6:coauthVersionLast="47" xr6:coauthVersionMax="47" xr10:uidLastSave="{00000000-0000-0000-0000-000000000000}"/>
  <bookViews>
    <workbookView xWindow="-108" yWindow="-108" windowWidth="23256" windowHeight="12456" activeTab="3" xr2:uid="{88D75A90-26BD-438C-8A87-D80F31A6A432}"/>
  </bookViews>
  <sheets>
    <sheet name="Sheet1" sheetId="1" r:id="rId1"/>
    <sheet name="Sheet11" sheetId="13" r:id="rId2"/>
    <sheet name="Sheet5" sheetId="5" r:id="rId3"/>
    <sheet name="Sheet7" sheetId="7" r:id="rId4"/>
    <sheet name="Sheet6" sheetId="6" r:id="rId5"/>
    <sheet name="Sheet4" sheetId="4" r:id="rId6"/>
    <sheet name="Sheet3" sheetId="3" r:id="rId7"/>
    <sheet name="Sheet2" sheetId="2" r:id="rId8"/>
  </sheets>
  <definedNames>
    <definedName name="_xlnm._FilterDatabase" localSheetId="0" hidden="1">Sheet1!$A$4:$X$64</definedName>
    <definedName name="_xlnm._FilterDatabase" localSheetId="4" hidden="1">Sheet6!$A$4:$I$64</definedName>
  </definedNames>
  <calcPr calcId="191029"/>
  <pivotCaches>
    <pivotCache cacheId="0" r:id="rId9"/>
    <pivotCache cacheId="22" r:id="rId10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X5" i="1" s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U5" i="1"/>
  <c r="M23" i="6"/>
  <c r="N23" i="6"/>
  <c r="O23" i="6"/>
  <c r="P23" i="6"/>
  <c r="L23" i="6"/>
  <c r="M22" i="6"/>
  <c r="N22" i="6"/>
  <c r="O22" i="6"/>
  <c r="P22" i="6"/>
  <c r="L22" i="6"/>
  <c r="O21" i="6"/>
  <c r="P21" i="6"/>
  <c r="M21" i="6"/>
  <c r="N21" i="6"/>
  <c r="L21" i="6"/>
  <c r="N11" i="6"/>
  <c r="O11" i="6"/>
  <c r="P11" i="6"/>
  <c r="Q11" i="6"/>
  <c r="O10" i="6"/>
  <c r="P10" i="6"/>
  <c r="Q10" i="6"/>
  <c r="N10" i="6"/>
  <c r="N6" i="6"/>
  <c r="O6" i="6"/>
  <c r="P6" i="6"/>
  <c r="Q6" i="6"/>
  <c r="O5" i="6"/>
  <c r="P5" i="6"/>
  <c r="Q5" i="6"/>
  <c r="N5" i="6"/>
  <c r="G8" i="7"/>
  <c r="G7" i="7"/>
  <c r="G6" i="7"/>
  <c r="G5" i="7"/>
  <c r="G4" i="7"/>
  <c r="V5" i="1" l="1"/>
  <c r="W5" i="1"/>
</calcChain>
</file>

<file path=xl/sharedStrings.xml><?xml version="1.0" encoding="utf-8"?>
<sst xmlns="http://schemas.openxmlformats.org/spreadsheetml/2006/main" count="1377" uniqueCount="283">
  <si>
    <t>Account Name</t>
  </si>
  <si>
    <t>Account Address</t>
  </si>
  <si>
    <t>Decision Maker</t>
  </si>
  <si>
    <t>Account Type</t>
  </si>
  <si>
    <t>Marketing / Promotion Programs</t>
  </si>
  <si>
    <t>Cooler?</t>
  </si>
  <si>
    <t>Digital screen?</t>
  </si>
  <si>
    <t>Menu inclusion?</t>
  </si>
  <si>
    <t>Posters?</t>
  </si>
  <si>
    <t>Bar 1</t>
  </si>
  <si>
    <t>Bar 2</t>
  </si>
  <si>
    <t>Bar 3</t>
  </si>
  <si>
    <t>Bar 4</t>
  </si>
  <si>
    <t>Bar 5</t>
  </si>
  <si>
    <t>Bar 6</t>
  </si>
  <si>
    <t>Bar 7</t>
  </si>
  <si>
    <t>Bar 8</t>
  </si>
  <si>
    <t>Bar 9</t>
  </si>
  <si>
    <t>Bar 10</t>
  </si>
  <si>
    <t>Bar 11</t>
  </si>
  <si>
    <t>Bar 12</t>
  </si>
  <si>
    <t>Bar 13</t>
  </si>
  <si>
    <t>Bar 14</t>
  </si>
  <si>
    <t>Bar 15</t>
  </si>
  <si>
    <t>Restaurant 1</t>
  </si>
  <si>
    <t>Restaurant 2</t>
  </si>
  <si>
    <t>Restaurant 3</t>
  </si>
  <si>
    <t>Restaurant 4</t>
  </si>
  <si>
    <t>Restaurant 5</t>
  </si>
  <si>
    <t>Restaurant 6</t>
  </si>
  <si>
    <t>Restaurant 7</t>
  </si>
  <si>
    <t>Restaurant 8</t>
  </si>
  <si>
    <t>Restaurant 9</t>
  </si>
  <si>
    <t>Restaurant 10</t>
  </si>
  <si>
    <t>Restaurant 11</t>
  </si>
  <si>
    <t>Restaurant 12</t>
  </si>
  <si>
    <t>Restaurant 13</t>
  </si>
  <si>
    <t>Restaurant 14</t>
  </si>
  <si>
    <t>Restaurant 15</t>
  </si>
  <si>
    <t>Nightclub 1</t>
  </si>
  <si>
    <t>Nightclub 2</t>
  </si>
  <si>
    <t>Nightclub 3</t>
  </si>
  <si>
    <t>Nightclub 4</t>
  </si>
  <si>
    <t>Nightclub 5</t>
  </si>
  <si>
    <t>Nightclub 6</t>
  </si>
  <si>
    <t>Nightclub 7</t>
  </si>
  <si>
    <t>Nightclub 8</t>
  </si>
  <si>
    <t>Nightclub 9</t>
  </si>
  <si>
    <t>Nightclub 10</t>
  </si>
  <si>
    <t>Nightclub 11</t>
  </si>
  <si>
    <t>Nightclub 12</t>
  </si>
  <si>
    <t>Nightclub 13</t>
  </si>
  <si>
    <t>Nightclub 14</t>
  </si>
  <si>
    <t>Nightclub 15</t>
  </si>
  <si>
    <t>Event Venue 1</t>
  </si>
  <si>
    <t>Event Venue 2</t>
  </si>
  <si>
    <t>Event Venue 3</t>
  </si>
  <si>
    <t>Event Venue 4</t>
  </si>
  <si>
    <t>Event Venue 5</t>
  </si>
  <si>
    <t>Event Venue 6</t>
  </si>
  <si>
    <t>Event Venue 7</t>
  </si>
  <si>
    <t>Event Venue 8</t>
  </si>
  <si>
    <t>Event Venue 9</t>
  </si>
  <si>
    <t>Event Venue 10</t>
  </si>
  <si>
    <t>Event Venue 11</t>
  </si>
  <si>
    <t>Event Venue 12</t>
  </si>
  <si>
    <t>Event Venue 13</t>
  </si>
  <si>
    <t>Event Venue 14</t>
  </si>
  <si>
    <t>Event Venue 15</t>
  </si>
  <si>
    <t>Dorothy Rizzo</t>
  </si>
  <si>
    <t>Lawson Moore</t>
  </si>
  <si>
    <t>Vin Hudson</t>
  </si>
  <si>
    <t>Susana Huels</t>
  </si>
  <si>
    <t>Shanna Hettinger</t>
  </si>
  <si>
    <t>Roy McGlynn</t>
  </si>
  <si>
    <t>Lorena Posacco</t>
  </si>
  <si>
    <t>Juanita Wisozk</t>
  </si>
  <si>
    <t>Velma Riley</t>
  </si>
  <si>
    <t>Holly Gaines</t>
  </si>
  <si>
    <t>Gary Brown</t>
  </si>
  <si>
    <t>Jeffrey Akins</t>
  </si>
  <si>
    <t>Tim Young</t>
  </si>
  <si>
    <t>Debra Kroll</t>
  </si>
  <si>
    <t>Kelly Boyd</t>
  </si>
  <si>
    <t>Dan Hill</t>
  </si>
  <si>
    <t>Javier George</t>
  </si>
  <si>
    <t>Christopher Evans</t>
  </si>
  <si>
    <t>Julie Ross</t>
  </si>
  <si>
    <t>Bill Callahan</t>
  </si>
  <si>
    <t>Anthony Brooks</t>
  </si>
  <si>
    <t>Charlotte Leroux</t>
  </si>
  <si>
    <t>Nina Coulter</t>
  </si>
  <si>
    <t>Mia Ang</t>
  </si>
  <si>
    <t>Kathy Rogers</t>
  </si>
  <si>
    <t>Rita Varga</t>
  </si>
  <si>
    <t>Mel Berkowitz</t>
  </si>
  <si>
    <t>Debra Martin</t>
  </si>
  <si>
    <t>Deshaun Fletcher</t>
  </si>
  <si>
    <t>Kari Lenz</t>
  </si>
  <si>
    <t>John Mackey</t>
  </si>
  <si>
    <t>Raymond Heywin</t>
  </si>
  <si>
    <t>Janie Roberson</t>
  </si>
  <si>
    <t>Brooke Hayes</t>
  </si>
  <si>
    <t>Lee Niemeyer</t>
  </si>
  <si>
    <t>Stephen Harris</t>
  </si>
  <si>
    <t>Juan Scott</t>
  </si>
  <si>
    <t>Kurt Issacs</t>
  </si>
  <si>
    <t>Dominique Johnson</t>
  </si>
  <si>
    <t>Larry Alaimo</t>
  </si>
  <si>
    <t>Carlos Moya</t>
  </si>
  <si>
    <t>Shaun Salvatore</t>
  </si>
  <si>
    <t>Annie Fuentes</t>
  </si>
  <si>
    <t>Maria Sawyer</t>
  </si>
  <si>
    <t>Darnell Straughter</t>
  </si>
  <si>
    <t>Richard Breaux</t>
  </si>
  <si>
    <t>Craig Collins</t>
  </si>
  <si>
    <t>Donna Lam</t>
  </si>
  <si>
    <t>Teresa Vasbinder</t>
  </si>
  <si>
    <t>Andre Mobley</t>
  </si>
  <si>
    <t>Ray Hernandez</t>
  </si>
  <si>
    <t>Thomas Stewart</t>
  </si>
  <si>
    <t>Henry Lange</t>
  </si>
  <si>
    <t>Danielle Tomas</t>
  </si>
  <si>
    <t>Joe Schimke</t>
  </si>
  <si>
    <t>Carlos Jackson</t>
  </si>
  <si>
    <t>Russell Wallace</t>
  </si>
  <si>
    <t>Shameka West</t>
  </si>
  <si>
    <t>Kevin Fleming</t>
  </si>
  <si>
    <t>Anna Grey</t>
  </si>
  <si>
    <t>2131 Patterson Road, Brooklyn NY 11201</t>
  </si>
  <si>
    <t>3685 Morningview Lane, New York NY 10013</t>
  </si>
  <si>
    <t>2285 Ladybug Drive, New York NY 10013</t>
  </si>
  <si>
    <t>2930 Southern Street, New York NY 10005</t>
  </si>
  <si>
    <t>2807 Geraldine Lane, New York NY 10004</t>
  </si>
  <si>
    <t>7778 Cherry Road, Bronx NY 10467</t>
  </si>
  <si>
    <t>48 Winchester Avenue, New York NY 10024</t>
  </si>
  <si>
    <t>267 Third Road, New York NY 10034</t>
  </si>
  <si>
    <t>8735 Squaw Creek Drive, Brooklyn NY 11214</t>
  </si>
  <si>
    <t>102 Coffee Court, Bronx NY 10461</t>
  </si>
  <si>
    <t>Phone Number</t>
  </si>
  <si>
    <t xml:space="preserve">Red Bull Aviators Virtual Experience Hypothetical Account Dataset </t>
  </si>
  <si>
    <t>44 W. Pheasant Street, Brooklyn NY 11233</t>
  </si>
  <si>
    <t>7488 N. Marconi Ave, Brooklyn NY 11237</t>
  </si>
  <si>
    <t>9575 Shipley Court, Brooklyn NY 11201</t>
  </si>
  <si>
    <t>8156 Lake View Street, New York, NY 10025</t>
  </si>
  <si>
    <t>44 Madison Dr, New York NY 10032</t>
  </si>
  <si>
    <t>9848 Linden St, New York NY 10011</t>
  </si>
  <si>
    <t>805 South Pilgrim Court, Brooklyn NY 11225</t>
  </si>
  <si>
    <t>9132 Redwood Rd, Bronx NY 10466</t>
  </si>
  <si>
    <t>3 Warren Drive, New York NY 10040</t>
  </si>
  <si>
    <t>402 Bridgeton Lane, Bronx NY 10468</t>
  </si>
  <si>
    <t>6 E. Nichols Ave, New York NY 10027</t>
  </si>
  <si>
    <t>323 North Edgewood St, Bronx NY 10457</t>
  </si>
  <si>
    <t>484 Thorne St, New York NY 10128</t>
  </si>
  <si>
    <t>861 Gonzales Lane, Bronx NY 10472</t>
  </si>
  <si>
    <t>267 Randall Mill Dr, New York NY 10033</t>
  </si>
  <si>
    <t>12 Lees Creek St, Brooklyn NY 11211</t>
  </si>
  <si>
    <t>240 W. Manhattan St, Bronx NY 10462</t>
  </si>
  <si>
    <t>62 Lower River Road, Staten Island, NY 10306</t>
  </si>
  <si>
    <t>48 S. Brandywine St, New York NY 10002</t>
  </si>
  <si>
    <t>5 Tallwood St, Brooklyn NY 11233</t>
  </si>
  <si>
    <t>77 Stillwater St, Brooklyn NY 11213</t>
  </si>
  <si>
    <t>7061 Bishop St, Yonkers NY 10701</t>
  </si>
  <si>
    <t>7223 Cedarwood Ave, Brooklyn NY 11221</t>
  </si>
  <si>
    <t>62 Lafayette Ave, Bronx NY 10462</t>
  </si>
  <si>
    <t>7839 Elm St, Staten Island NY 10306</t>
  </si>
  <si>
    <t>429 Stonybrook Dr, Brooklyn NY 11203</t>
  </si>
  <si>
    <t>640 Beechwood Dr, Bronx NY 10461</t>
  </si>
  <si>
    <t>9453 N. Wagon Lane, Brooklyn NY 11237</t>
  </si>
  <si>
    <t>81 San Carlos Road, Bronx NY 10463</t>
  </si>
  <si>
    <t>596 Coffee St, Bronx NY 10472</t>
  </si>
  <si>
    <t>92 Princess St, New York NY 10033</t>
  </si>
  <si>
    <t>9151 River St, Brooklyn NY 11230</t>
  </si>
  <si>
    <t>424 Hall Ave, New York NY 10128</t>
  </si>
  <si>
    <t>81 Crescent St, Brooklyn NY 11210</t>
  </si>
  <si>
    <t>7217 Birch Hill Dr, New York NY 10009</t>
  </si>
  <si>
    <t>7184 Center Court, Brooklyn NY 11208</t>
  </si>
  <si>
    <t>815 2nd St, New York NY 10028</t>
  </si>
  <si>
    <t>9875 Franklin Rd, Brooklyn NY 11223</t>
  </si>
  <si>
    <t>601 Bank Ave, Brooklyn NY 11218</t>
  </si>
  <si>
    <t>21 Yukon St, Bronx NY 10451</t>
  </si>
  <si>
    <t>18 N. Woodland Ave, New York NY 10025</t>
  </si>
  <si>
    <t>65 Lower River Ave, Bronx NY 10465</t>
  </si>
  <si>
    <t>8680 Alderwood St, New York NY 10032</t>
  </si>
  <si>
    <t>8388 Gonzales St, Brooklyn NY 11228</t>
  </si>
  <si>
    <t>9760 Taylor Dr, Brooklyn NY 11211</t>
  </si>
  <si>
    <t>419 E. Henry Ave, New York NY 10031</t>
  </si>
  <si>
    <t>8083 8th St, Brooklyn NY 11209</t>
  </si>
  <si>
    <t>2 Rock Maple Ave, New York NY 10029</t>
  </si>
  <si>
    <t>9577 Nicolls Ave, Staten Island NY 10312</t>
  </si>
  <si>
    <t>174 Del Monte St, Brooklyn NY 11224</t>
  </si>
  <si>
    <t>(880) 283-6803</t>
  </si>
  <si>
    <t>(711) 426-7350</t>
  </si>
  <si>
    <t>(952) 952-5573</t>
  </si>
  <si>
    <t>(491) 505-6064</t>
  </si>
  <si>
    <t>(412) 570-0596</t>
  </si>
  <si>
    <t>(594) 807-4187</t>
  </si>
  <si>
    <t>(678) 294-8103</t>
  </si>
  <si>
    <t>(305) 531-1310</t>
  </si>
  <si>
    <t>(697) 543-0310</t>
  </si>
  <si>
    <t>(277) 456-4626</t>
  </si>
  <si>
    <t>(459) 968-9453</t>
  </si>
  <si>
    <t>(313) 417-8968</t>
  </si>
  <si>
    <t>(876) 653-1727</t>
  </si>
  <si>
    <t>(628) 832-4986</t>
  </si>
  <si>
    <t>(220) 929-0797</t>
  </si>
  <si>
    <t>(248) 450-0797</t>
  </si>
  <si>
    <t>(964) 214-3742</t>
  </si>
  <si>
    <t>(831) 406-6300</t>
  </si>
  <si>
    <t>(778) 387-0744</t>
  </si>
  <si>
    <t>(617) 419-7996</t>
  </si>
  <si>
    <t>(349) 801-7566</t>
  </si>
  <si>
    <t>(784) 634-6873</t>
  </si>
  <si>
    <t>(938) 752-9381</t>
  </si>
  <si>
    <t>(253) 861-1301</t>
  </si>
  <si>
    <t>(939) 738-6471</t>
  </si>
  <si>
    <t>(754) 696-3109</t>
  </si>
  <si>
    <t>(967) 547-1542</t>
  </si>
  <si>
    <t>(743) 960-6716</t>
  </si>
  <si>
    <t>(845) 304-6511</t>
  </si>
  <si>
    <t>(886) 554-5339</t>
  </si>
  <si>
    <t>(831) 581-1892</t>
  </si>
  <si>
    <t>(571) 843-1746</t>
  </si>
  <si>
    <t>(924) 516-6566</t>
  </si>
  <si>
    <t>(247) 999-3394</t>
  </si>
  <si>
    <t>(920) 451-3973</t>
  </si>
  <si>
    <t>(258) 948-7479</t>
  </si>
  <si>
    <t>(357) 532-0838</t>
  </si>
  <si>
    <t>(454) 903-5770</t>
  </si>
  <si>
    <t>(336) 448-7026</t>
  </si>
  <si>
    <t>(242) 869-1226</t>
  </si>
  <si>
    <t>(485) 453-8693</t>
  </si>
  <si>
    <t>(691) 657-1498</t>
  </si>
  <si>
    <t>(462) 693-6254</t>
  </si>
  <si>
    <t>(881) 243-5276</t>
  </si>
  <si>
    <t>(680) 628-4625</t>
  </si>
  <si>
    <t>(685) 981-8556</t>
  </si>
  <si>
    <t>(828) 840-2736</t>
  </si>
  <si>
    <t>(931) 618-9558</t>
  </si>
  <si>
    <t>(261) 690-0303</t>
  </si>
  <si>
    <t>(597) 701-9429</t>
  </si>
  <si>
    <t>(609) 345-8163</t>
  </si>
  <si>
    <t>(381) 643-1230</t>
  </si>
  <si>
    <t>(293) 473-1512</t>
  </si>
  <si>
    <t>(459) 261-2301</t>
  </si>
  <si>
    <t>(936) 816-9148</t>
  </si>
  <si>
    <t>(201) 363-0653</t>
  </si>
  <si>
    <t>(237) 890-0247</t>
  </si>
  <si>
    <t>(488) 656-0761</t>
  </si>
  <si>
    <t>(650) 848-8284</t>
  </si>
  <si>
    <t>(980) 437-1451</t>
  </si>
  <si>
    <t>Bar</t>
  </si>
  <si>
    <t>Restaurant</t>
  </si>
  <si>
    <t>Club</t>
  </si>
  <si>
    <t>Hotel</t>
  </si>
  <si>
    <t>Yes</t>
  </si>
  <si>
    <t>No</t>
  </si>
  <si>
    <t>Sales Volume (cases)</t>
  </si>
  <si>
    <t>Product Lines</t>
  </si>
  <si>
    <t>Sugar Free</t>
  </si>
  <si>
    <t>Yellow Edition</t>
  </si>
  <si>
    <t>Regular</t>
  </si>
  <si>
    <t>CAGR</t>
  </si>
  <si>
    <t>Row Labels</t>
  </si>
  <si>
    <t>Grand Total</t>
  </si>
  <si>
    <t>Sum of 2017</t>
  </si>
  <si>
    <t>Sum of 2018</t>
  </si>
  <si>
    <t>Sum of 2019</t>
  </si>
  <si>
    <t>Sum of 2020</t>
  </si>
  <si>
    <t>Sum of 2021</t>
  </si>
  <si>
    <t xml:space="preserve">Sales Growth </t>
  </si>
  <si>
    <t>years</t>
  </si>
  <si>
    <t xml:space="preserve"> 2021</t>
  </si>
  <si>
    <t xml:space="preserve"> 2020</t>
  </si>
  <si>
    <t xml:space="preserve"> 2017</t>
  </si>
  <si>
    <t xml:space="preserve"> 2018</t>
  </si>
  <si>
    <t xml:space="preserve"> 2019</t>
  </si>
  <si>
    <t>Yr</t>
  </si>
  <si>
    <t>Total</t>
  </si>
  <si>
    <t>Trend</t>
  </si>
  <si>
    <t>total Sales</t>
  </si>
  <si>
    <t>NO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</si>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</sst>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/>
    <xf numFmtId="0" fontId="1" fillId="5" borderId="1" xfId="0" applyFont="1" applyFill="1" applyBorder="1"/>
    <xf numFmtId="0" fontId="0" fillId="0" borderId="0" xfId="0" applyNumberFormat="1"/>
    <xf numFmtId="0" fontId="5" fillId="6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Sugar Free Presence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65E-4F8C-BF2C-4222422687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5E-4F8C-BF2C-422242268727}"/>
              </c:ext>
            </c:extLst>
          </c:dPt>
          <c:dLbls>
            <c:dLbl>
              <c:idx val="0"/>
              <c:layout>
                <c:manualLayout>
                  <c:x val="6.5220530126041926E-2"/>
                  <c:y val="-1.1605424321959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5862247988232"/>
                      <c:h val="7.40048118985126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65E-4F8C-BF2C-422242268727}"/>
                </c:ext>
              </c:extLst>
            </c:dLbl>
            <c:dLbl>
              <c:idx val="1"/>
              <c:layout>
                <c:manualLayout>
                  <c:x val="6.4428605078211401E-3"/>
                  <c:y val="2.44021580635755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93421014680858"/>
                      <c:h val="7.40048118985126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5E-4F8C-BF2C-4222422687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Sheet1!$U$3:$V$4</c:f>
              <c:multiLvlStrCache>
                <c:ptCount val="2"/>
                <c:lvl>
                  <c:pt idx="0">
                    <c:v>Yes</c:v>
                  </c:pt>
                  <c:pt idx="1">
                    <c:v>NO</c:v>
                  </c:pt>
                </c:lvl>
                <c:lvl>
                  <c:pt idx="0">
                    <c:v>Sugar Free</c:v>
                  </c:pt>
                </c:lvl>
              </c:multiLvlStrCache>
            </c:multiLvlStrRef>
          </c:cat>
          <c:val>
            <c:numRef>
              <c:f>Sheet1!$U$5:$V$5</c:f>
              <c:numCache>
                <c:formatCode>General</c:formatCode>
                <c:ptCount val="2"/>
                <c:pt idx="0">
                  <c:v>1226664</c:v>
                </c:pt>
                <c:pt idx="1">
                  <c:v>254184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E-4F8C-BF2C-4222422687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Yellow Edition Presence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2D-4E8E-AF78-22049091C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2D-4E8E-AF78-22049091CEA7}"/>
              </c:ext>
            </c:extLst>
          </c:dPt>
          <c:dLbls>
            <c:dLbl>
              <c:idx val="0"/>
              <c:layout>
                <c:manualLayout>
                  <c:x val="6.2970253718285145E-3"/>
                  <c:y val="-0.1383905657626130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319553805774268E-2"/>
                      <c:h val="0.111041848935549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2D-4E8E-AF78-22049091CEA7}"/>
                </c:ext>
              </c:extLst>
            </c:dLbl>
            <c:dLbl>
              <c:idx val="1"/>
              <c:layout>
                <c:manualLayout>
                  <c:x val="-9.9246448247656827E-3"/>
                  <c:y val="-6.98488990959463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4383828377201"/>
                      <c:h val="0.111041848935549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2D-4E8E-AF78-22049091CE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Sheet1!$W$3:$X$4</c:f>
              <c:multiLvlStrCache>
                <c:ptCount val="2"/>
                <c:lvl>
                  <c:pt idx="0">
                    <c:v>Yes</c:v>
                  </c:pt>
                  <c:pt idx="1">
                    <c:v>No</c:v>
                  </c:pt>
                </c:lvl>
                <c:lvl>
                  <c:pt idx="0">
                    <c:v>Yellow Edition</c:v>
                  </c:pt>
                </c:lvl>
              </c:multiLvlStrCache>
            </c:multiLvlStrRef>
          </c:cat>
          <c:val>
            <c:numRef>
              <c:f>Sheet1!$W$5:$X$5</c:f>
              <c:numCache>
                <c:formatCode>General</c:formatCode>
                <c:ptCount val="2"/>
                <c:pt idx="0">
                  <c:v>768615</c:v>
                </c:pt>
                <c:pt idx="1">
                  <c:v>712233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D-4E8E-AF78-22049091CE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 Sales Data for Analysis v2 (Recovered).xlsx]Sheet11!PivotTable5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Sheet11!$H$2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Sheet11!$G$3:$G$28</c:f>
              <c:multiLvlStrCache>
                <c:ptCount val="11"/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  <c:pt idx="8">
                    <c:v>No</c:v>
                  </c:pt>
                  <c:pt idx="9">
                    <c:v>No</c:v>
                  </c:pt>
                  <c:pt idx="10">
                    <c:v>Yes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6">
                    <c:v>Yes</c:v>
                  </c:pt>
                  <c:pt idx="8">
                    <c:v>No</c:v>
                  </c:pt>
                  <c:pt idx="9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  <c:pt idx="4">
                    <c:v>No</c:v>
                  </c:pt>
                  <c:pt idx="8">
                    <c:v>Yes</c:v>
                  </c:pt>
                </c:lvl>
                <c:lvl>
                  <c:pt idx="0">
                    <c:v>No</c:v>
                  </c:pt>
                  <c:pt idx="4">
                    <c:v>Yes</c:v>
                  </c:pt>
                </c:lvl>
              </c:multiLvlStrCache>
            </c:multiLvlStrRef>
          </c:cat>
          <c:val>
            <c:numRef>
              <c:f>Sheet11!$H$3:$H$28</c:f>
              <c:numCache>
                <c:formatCode>General</c:formatCode>
                <c:ptCount val="11"/>
                <c:pt idx="0">
                  <c:v>336983</c:v>
                </c:pt>
                <c:pt idx="1">
                  <c:v>45108</c:v>
                </c:pt>
                <c:pt idx="2">
                  <c:v>37718</c:v>
                </c:pt>
                <c:pt idx="3">
                  <c:v>30450</c:v>
                </c:pt>
                <c:pt idx="4">
                  <c:v>296700</c:v>
                </c:pt>
                <c:pt idx="5">
                  <c:v>143898</c:v>
                </c:pt>
                <c:pt idx="6">
                  <c:v>32872</c:v>
                </c:pt>
                <c:pt idx="7">
                  <c:v>23830</c:v>
                </c:pt>
                <c:pt idx="8">
                  <c:v>195253</c:v>
                </c:pt>
                <c:pt idx="9">
                  <c:v>93942</c:v>
                </c:pt>
                <c:pt idx="10">
                  <c:v>244094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F-4C8D-B0DF-274D3858BB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9885880"/>
        <c:axId val="739886600"/>
      </c:barChart>
      <c:catAx>
        <c:axId val="739885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86600"/>
        <c:crosses val="autoZero"/>
        <c:auto val="1"/>
        <c:lblAlgn val="ctr"/>
        <c:lblOffset val="100"/>
        <c:noMultiLvlLbl val="0"/>
      </c:catAx>
      <c:valAx>
        <c:axId val="73988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88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Sheet5!$A$4</c:f>
              <c:strCache>
                <c:ptCount val="1"/>
                <c:pt idx="0">
                  <c:v>Account 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4-49A2-8C2D-98CA327D3B22}"/>
            </c:ext>
          </c:extLst>
        </c:ser>
        <c:ser>
          <c:idx val="1"/>
          <c:order val="1"/>
          <c:tx>
            <c:strRef>
              <c:f>Sheet5!$A$5</c:f>
              <c:strCache>
                <c:ptCount val="1"/>
                <c:pt idx="0">
                  <c:v>Restaurant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Sheet5!$B$5:$F$5</c:f>
              <c:numCache>
                <c:formatCode>General</c:formatCode>
                <c:ptCount val="5"/>
                <c:pt idx="0">
                  <c:v>73</c:v>
                </c:pt>
                <c:pt idx="1">
                  <c:v>3485</c:v>
                </c:pt>
                <c:pt idx="2">
                  <c:v>4592</c:v>
                </c:pt>
                <c:pt idx="3">
                  <c:v>5143</c:v>
                </c:pt>
                <c:pt idx="4">
                  <c:v>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54-49A2-8C2D-98CA327D3B22}"/>
            </c:ext>
          </c:extLst>
        </c:ser>
        <c:ser>
          <c:idx val="2"/>
          <c:order val="2"/>
          <c:tx>
            <c:strRef>
              <c:f>Sheet5!$A$6</c:f>
              <c:strCache>
                <c:ptCount val="1"/>
                <c:pt idx="0">
                  <c:v>Restaurant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Sheet5!$B$6:$F$6</c:f>
              <c:numCache>
                <c:formatCode>General</c:formatCode>
                <c:ptCount val="5"/>
                <c:pt idx="0">
                  <c:v>209</c:v>
                </c:pt>
                <c:pt idx="1">
                  <c:v>621</c:v>
                </c:pt>
                <c:pt idx="2">
                  <c:v>3098</c:v>
                </c:pt>
                <c:pt idx="3">
                  <c:v>7118</c:v>
                </c:pt>
                <c:pt idx="4">
                  <c:v>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54-49A2-8C2D-98CA327D3B22}"/>
            </c:ext>
          </c:extLst>
        </c:ser>
        <c:ser>
          <c:idx val="3"/>
          <c:order val="3"/>
          <c:tx>
            <c:strRef>
              <c:f>Sheet5!$A$7</c:f>
              <c:strCache>
                <c:ptCount val="1"/>
                <c:pt idx="0">
                  <c:v>Restaurant 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Sheet5!$B$7:$F$7</c:f>
              <c:numCache>
                <c:formatCode>General</c:formatCode>
                <c:ptCount val="5"/>
                <c:pt idx="0">
                  <c:v>238</c:v>
                </c:pt>
                <c:pt idx="1">
                  <c:v>1235</c:v>
                </c:pt>
                <c:pt idx="2">
                  <c:v>1822</c:v>
                </c:pt>
                <c:pt idx="3">
                  <c:v>7074</c:v>
                </c:pt>
                <c:pt idx="4">
                  <c:v>8207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54-49A2-8C2D-98CA327D3B22}"/>
            </c:ext>
          </c:extLst>
        </c:ser>
        <c:ser>
          <c:idx val="4"/>
          <c:order val="4"/>
          <c:tx>
            <c:strRef>
              <c:f>Sheet5!$A$8</c:f>
              <c:strCache>
                <c:ptCount val="1"/>
                <c:pt idx="0">
                  <c:v>Restaurant 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Sheet5!$B$8:$F$8</c:f>
              <c:numCache>
                <c:formatCode>General</c:formatCode>
                <c:ptCount val="5"/>
                <c:pt idx="0">
                  <c:v>570</c:v>
                </c:pt>
                <c:pt idx="1">
                  <c:v>1322</c:v>
                </c:pt>
                <c:pt idx="2">
                  <c:v>7279</c:v>
                </c:pt>
                <c:pt idx="3">
                  <c:v>8443</c:v>
                </c:pt>
                <c:pt idx="4">
                  <c:v>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54-49A2-8C2D-98CA327D3B22}"/>
            </c:ext>
          </c:extLst>
        </c:ser>
        <c:ser>
          <c:idx val="5"/>
          <c:order val="5"/>
          <c:tx>
            <c:strRef>
              <c:f>Sheet5!$A$9</c:f>
              <c:strCache>
                <c:ptCount val="1"/>
                <c:pt idx="0">
                  <c:v>Restaurant 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Sheet5!$B$9:$F$9</c:f>
              <c:numCache>
                <c:formatCode>General</c:formatCode>
                <c:ptCount val="5"/>
                <c:pt idx="0">
                  <c:v>700</c:v>
                </c:pt>
                <c:pt idx="1">
                  <c:v>5721</c:v>
                </c:pt>
                <c:pt idx="2">
                  <c:v>6247</c:v>
                </c:pt>
                <c:pt idx="3">
                  <c:v>8495</c:v>
                </c:pt>
                <c:pt idx="4">
                  <c:v>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54-49A2-8C2D-98CA327D3B22}"/>
            </c:ext>
          </c:extLst>
        </c:ser>
        <c:ser>
          <c:idx val="6"/>
          <c:order val="6"/>
          <c:tx>
            <c:strRef>
              <c:f>Sheet5!$A$10</c:f>
              <c:strCache>
                <c:ptCount val="1"/>
                <c:pt idx="0">
                  <c:v>Restaurant 14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Sheet5!$B$10:$F$10</c:f>
              <c:numCache>
                <c:formatCode>General</c:formatCode>
                <c:ptCount val="5"/>
                <c:pt idx="0">
                  <c:v>712</c:v>
                </c:pt>
                <c:pt idx="1">
                  <c:v>4182</c:v>
                </c:pt>
                <c:pt idx="2">
                  <c:v>6087</c:v>
                </c:pt>
                <c:pt idx="3">
                  <c:v>7494</c:v>
                </c:pt>
                <c:pt idx="4">
                  <c:v>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54-49A2-8C2D-98CA327D3B22}"/>
            </c:ext>
          </c:extLst>
        </c:ser>
        <c:ser>
          <c:idx val="7"/>
          <c:order val="7"/>
          <c:tx>
            <c:strRef>
              <c:f>Sheet5!$A$11</c:f>
              <c:strCache>
                <c:ptCount val="1"/>
                <c:pt idx="0">
                  <c:v>Restaurant 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Sheet5!$B$11:$F$11</c:f>
              <c:numCache>
                <c:formatCode>General</c:formatCode>
                <c:ptCount val="5"/>
                <c:pt idx="0">
                  <c:v>1368</c:v>
                </c:pt>
                <c:pt idx="1">
                  <c:v>3447</c:v>
                </c:pt>
                <c:pt idx="2">
                  <c:v>4535</c:v>
                </c:pt>
                <c:pt idx="3">
                  <c:v>5476</c:v>
                </c:pt>
                <c:pt idx="4">
                  <c:v>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54-49A2-8C2D-98CA327D3B22}"/>
            </c:ext>
          </c:extLst>
        </c:ser>
        <c:ser>
          <c:idx val="8"/>
          <c:order val="8"/>
          <c:tx>
            <c:strRef>
              <c:f>Sheet5!$A$12</c:f>
              <c:strCache>
                <c:ptCount val="1"/>
                <c:pt idx="0">
                  <c:v>Restaurant 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Sheet5!$B$12:$F$12</c:f>
              <c:numCache>
                <c:formatCode>General</c:formatCode>
                <c:ptCount val="5"/>
                <c:pt idx="0">
                  <c:v>1779</c:v>
                </c:pt>
                <c:pt idx="1">
                  <c:v>2124</c:v>
                </c:pt>
                <c:pt idx="2">
                  <c:v>2844</c:v>
                </c:pt>
                <c:pt idx="3">
                  <c:v>6877</c:v>
                </c:pt>
                <c:pt idx="4">
                  <c:v>9570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54-49A2-8C2D-98CA327D3B22}"/>
            </c:ext>
          </c:extLst>
        </c:ser>
        <c:ser>
          <c:idx val="9"/>
          <c:order val="9"/>
          <c:tx>
            <c:strRef>
              <c:f>Sheet5!$A$13</c:f>
              <c:strCache>
                <c:ptCount val="1"/>
                <c:pt idx="0">
                  <c:v>Restaurant 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Sheet5!$B$13:$F$13</c:f>
              <c:numCache>
                <c:formatCode>General</c:formatCode>
                <c:ptCount val="5"/>
                <c:pt idx="0">
                  <c:v>3501</c:v>
                </c:pt>
                <c:pt idx="1">
                  <c:v>7079</c:v>
                </c:pt>
                <c:pt idx="2">
                  <c:v>7438</c:v>
                </c:pt>
                <c:pt idx="3">
                  <c:v>7443</c:v>
                </c:pt>
                <c:pt idx="4">
                  <c:v>9225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54-49A2-8C2D-98CA327D3B22}"/>
            </c:ext>
          </c:extLst>
        </c:ser>
        <c:ser>
          <c:idx val="10"/>
          <c:order val="10"/>
          <c:tx>
            <c:strRef>
              <c:f>Sheet5!$A$14</c:f>
              <c:strCache>
                <c:ptCount val="1"/>
                <c:pt idx="0">
                  <c:v>Restaurant 15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Sheet5!$B$14:$F$14</c:f>
              <c:numCache>
                <c:formatCode>General</c:formatCode>
                <c:ptCount val="5"/>
                <c:pt idx="0">
                  <c:v>2390</c:v>
                </c:pt>
                <c:pt idx="1">
                  <c:v>2415</c:v>
                </c:pt>
                <c:pt idx="2">
                  <c:v>3461</c:v>
                </c:pt>
                <c:pt idx="3">
                  <c:v>3850</c:v>
                </c:pt>
                <c:pt idx="4">
                  <c:v>4657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54-49A2-8C2D-98CA327D3B22}"/>
            </c:ext>
          </c:extLst>
        </c:ser>
        <c:ser>
          <c:idx val="11"/>
          <c:order val="11"/>
          <c:tx>
            <c:strRef>
              <c:f>Sheet5!$A$15</c:f>
              <c:strCache>
                <c:ptCount val="1"/>
                <c:pt idx="0">
                  <c:v>Restaurant 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Sheet5!$B$15:$F$15</c:f>
              <c:numCache>
                <c:formatCode>General</c:formatCode>
                <c:ptCount val="5"/>
                <c:pt idx="0">
                  <c:v>3916</c:v>
                </c:pt>
                <c:pt idx="1">
                  <c:v>4218</c:v>
                </c:pt>
                <c:pt idx="2">
                  <c:v>5072</c:v>
                </c:pt>
                <c:pt idx="3">
                  <c:v>5201</c:v>
                </c:pt>
                <c:pt idx="4">
                  <c:v>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B54-49A2-8C2D-98CA327D3B22}"/>
            </c:ext>
          </c:extLst>
        </c:ser>
        <c:ser>
          <c:idx val="12"/>
          <c:order val="12"/>
          <c:tx>
            <c:strRef>
              <c:f>Sheet5!$A$16</c:f>
              <c:strCache>
                <c:ptCount val="1"/>
                <c:pt idx="0">
                  <c:v>Restaurant 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Sheet5!$B$16:$F$16</c:f>
              <c:numCache>
                <c:formatCode>General</c:formatCode>
                <c:ptCount val="5"/>
                <c:pt idx="0">
                  <c:v>6309</c:v>
                </c:pt>
                <c:pt idx="1">
                  <c:v>6227</c:v>
                </c:pt>
                <c:pt idx="2">
                  <c:v>5123</c:v>
                </c:pt>
                <c:pt idx="3">
                  <c:v>4968</c:v>
                </c:pt>
                <c:pt idx="4">
                  <c:v>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54-49A2-8C2D-98CA327D3B22}"/>
            </c:ext>
          </c:extLst>
        </c:ser>
        <c:ser>
          <c:idx val="13"/>
          <c:order val="13"/>
          <c:tx>
            <c:strRef>
              <c:f>Sheet5!$A$17</c:f>
              <c:strCache>
                <c:ptCount val="1"/>
                <c:pt idx="0">
                  <c:v>Restaurant 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Sheet5!$B$17:$F$17</c:f>
              <c:numCache>
                <c:formatCode>General</c:formatCode>
                <c:ptCount val="5"/>
                <c:pt idx="0">
                  <c:v>9773</c:v>
                </c:pt>
                <c:pt idx="1">
                  <c:v>9179</c:v>
                </c:pt>
                <c:pt idx="2">
                  <c:v>8390</c:v>
                </c:pt>
                <c:pt idx="3">
                  <c:v>8256</c:v>
                </c:pt>
                <c:pt idx="4">
                  <c:v>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B54-49A2-8C2D-98CA327D3B22}"/>
            </c:ext>
          </c:extLst>
        </c:ser>
        <c:ser>
          <c:idx val="14"/>
          <c:order val="14"/>
          <c:tx>
            <c:strRef>
              <c:f>Sheet5!$A$18</c:f>
              <c:strCache>
                <c:ptCount val="1"/>
                <c:pt idx="0">
                  <c:v>Restaurant 11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Sheet5!$B$18:$F$18</c:f>
              <c:numCache>
                <c:formatCode>General</c:formatCode>
                <c:ptCount val="5"/>
                <c:pt idx="0">
                  <c:v>6156</c:v>
                </c:pt>
                <c:pt idx="1">
                  <c:v>6110</c:v>
                </c:pt>
                <c:pt idx="2">
                  <c:v>5791</c:v>
                </c:pt>
                <c:pt idx="3">
                  <c:v>1759</c:v>
                </c:pt>
                <c:pt idx="4">
                  <c:v>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54-49A2-8C2D-98CA327D3B22}"/>
            </c:ext>
          </c:extLst>
        </c:ser>
        <c:ser>
          <c:idx val="15"/>
          <c:order val="15"/>
          <c:tx>
            <c:strRef>
              <c:f>Sheet5!$A$19</c:f>
              <c:strCache>
                <c:ptCount val="1"/>
                <c:pt idx="0">
                  <c:v>Restaurant 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Sheet5!$B$19:$F$19</c:f>
              <c:numCache>
                <c:formatCode>General</c:formatCode>
                <c:ptCount val="5"/>
                <c:pt idx="0">
                  <c:v>8331</c:v>
                </c:pt>
                <c:pt idx="1">
                  <c:v>7667</c:v>
                </c:pt>
                <c:pt idx="2">
                  <c:v>5952</c:v>
                </c:pt>
                <c:pt idx="3">
                  <c:v>1998</c:v>
                </c:pt>
                <c:pt idx="4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54-49A2-8C2D-98CA327D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314168"/>
        <c:axId val="598256720"/>
      </c:lineChart>
      <c:catAx>
        <c:axId val="346314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7700042026468753"/>
              <c:y val="0.6292732660965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56720"/>
        <c:crosses val="autoZero"/>
        <c:auto val="1"/>
        <c:lblAlgn val="ctr"/>
        <c:lblOffset val="100"/>
        <c:noMultiLvlLbl val="0"/>
      </c:catAx>
      <c:valAx>
        <c:axId val="5982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31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 Sales Data for Analysis v2 (Recovered).xlsx]Sheet7!PivotTable1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2017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51804</c:v>
                </c:pt>
                <c:pt idx="1">
                  <c:v>47259</c:v>
                </c:pt>
                <c:pt idx="2">
                  <c:v>44888</c:v>
                </c:pt>
                <c:pt idx="3">
                  <c:v>46025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12-4DD8-BA63-0AE45F9921C6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Sheet7!$C$4:$C$8</c:f>
              <c:numCache>
                <c:formatCode>General</c:formatCode>
                <c:ptCount val="4"/>
                <c:pt idx="0">
                  <c:v>60121</c:v>
                </c:pt>
                <c:pt idx="1">
                  <c:v>67275</c:v>
                </c:pt>
                <c:pt idx="2">
                  <c:v>50567</c:v>
                </c:pt>
                <c:pt idx="3">
                  <c:v>65032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12-4DD8-BA63-0AE45F9921C6}"/>
            </c:ext>
          </c:extLst>
        </c:ser>
        <c:ser>
          <c:idx val="2"/>
          <c:order val="2"/>
          <c:tx>
            <c:strRef>
              <c:f>Sheet7!$D$3</c:f>
              <c:strCache>
                <c:ptCount val="1"/>
                <c:pt idx="0">
                  <c:v>Sum of 2019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Sheet7!$D$4:$D$8</c:f>
              <c:numCache>
                <c:formatCode>General</c:formatCode>
                <c:ptCount val="4"/>
                <c:pt idx="0">
                  <c:v>60760</c:v>
                </c:pt>
                <c:pt idx="1">
                  <c:v>79646</c:v>
                </c:pt>
                <c:pt idx="2">
                  <c:v>70312</c:v>
                </c:pt>
                <c:pt idx="3">
                  <c:v>77731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12-4DD8-BA63-0AE45F9921C6}"/>
            </c:ext>
          </c:extLst>
        </c:ser>
        <c:ser>
          <c:idx val="3"/>
          <c:order val="3"/>
          <c:tx>
            <c:strRef>
              <c:f>Sheet7!$E$3</c:f>
              <c:strCache>
                <c:ptCount val="1"/>
                <c:pt idx="0">
                  <c:v>Sum of 2020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Sheet7!$E$4:$E$8</c:f>
              <c:numCache>
                <c:formatCode>General</c:formatCode>
                <c:ptCount val="4"/>
                <c:pt idx="0">
                  <c:v>75991</c:v>
                </c:pt>
                <c:pt idx="1">
                  <c:v>102065</c:v>
                </c:pt>
                <c:pt idx="2">
                  <c:v>82583</c:v>
                </c:pt>
                <c:pt idx="3">
                  <c:v>89595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B12-4DD8-BA63-0AE45F9921C6}"/>
            </c:ext>
          </c:extLst>
        </c:ser>
        <c:ser>
          <c:idx val="4"/>
          <c:order val="4"/>
          <c:tx>
            <c:strRef>
              <c:f>Sheet7!$F$3</c:f>
              <c:strCache>
                <c:ptCount val="1"/>
                <c:pt idx="0">
                  <c:v>Sum of 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Sheet7!$F$4:$F$8</c:f>
              <c:numCache>
                <c:formatCode>General</c:formatCode>
                <c:ptCount val="4"/>
                <c:pt idx="0">
                  <c:v>94147</c:v>
                </c:pt>
                <c:pt idx="1">
                  <c:v>112270</c:v>
                </c:pt>
                <c:pt idx="2">
                  <c:v>100592</c:v>
                </c:pt>
                <c:pt idx="3">
                  <c:v>102185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12-4DD8-BA63-0AE45F992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208024"/>
        <c:axId val="625208384"/>
      </c:barChart>
      <c:catAx>
        <c:axId val="6252080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8384"/>
        <c:crosses val="autoZero"/>
        <c:auto val="1"/>
        <c:lblAlgn val="ctr"/>
        <c:lblOffset val="100"/>
        <c:noMultiLvlLbl val="0"/>
      </c:catAx>
      <c:valAx>
        <c:axId val="6252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0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602559055118109"/>
          <c:y val="5.0925925925925923E-2"/>
          <c:w val="0.81341885389326329"/>
          <c:h val="0.743503207932341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Sheet7!$G$3</c:f>
              <c:strCache>
                <c:ptCount val="1"/>
                <c:pt idx="0">
                  <c:v>Sales Growth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Sheet7!$I$4:$I$7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Sheet7!$G$4:$G$7</c:f>
              <c:numCache>
                <c:formatCode>0%</c:formatCode>
                <c:ptCount val="4"/>
                <c:pt idx="0">
                  <c:v>0.81736931511080224</c:v>
                </c:pt>
                <c:pt idx="1">
                  <c:v>1.375632154721852</c:v>
                </c:pt>
                <c:pt idx="2">
                  <c:v>1.2409552664409196</c:v>
                </c:pt>
                <c:pt idx="3">
                  <c:v>1.2202064095600218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3FC-9CA3-D5D0FEAE94B2}"/>
            </c:ext>
          </c:extLst>
        </c:ser>
        <c:ser>
          <c:idx val="2"/>
          <c:order val="2"/>
          <c:tx>
            <c:strRef>
              <c:f>Sheet7!$I$3</c:f>
              <c:strCache>
                <c:ptCount val="1"/>
                <c:pt idx="0">
                  <c:v>Account Type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Sheet7!$I$4:$I$7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Sheet7!$I$4:$I$7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8-43FC-9CA3-D5D0FEAE94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8748784"/>
        <c:axId val="77875166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Sheet7!$H$3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Sheet7!$I$4:$I$7</c15:sqref>
                        </c15:formulaRef>
                      </c:ext>
                    </c:extLst>
                    <c:strCache>
                      <c:ptCount val="4"/>
                      <c:pt idx="0">
                        <c:v>Bar</c:v>
                      </c:pt>
                      <c:pt idx="1">
                        <c:v>Club</c:v>
                      </c:pt>
                      <c:pt idx="2">
                        <c:v>Hotel</c:v>
                      </c:pt>
                      <c:pt idx="3">
                        <c:v>Restaurant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Sheet7!$H$4:$H$7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BD8-43FC-9CA3-D5D0FEAE94B2}"/>
                  </c:ext>
                </c:extLst>
              </c15:ser>
            </c15:filteredBarSeries>
          </c:ext>
        </c:extLst>
      </c:barChart>
      <c:catAx>
        <c:axId val="77874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Account Type</a:t>
                </a:r>
                <a:r>
                  <a:rPr lang="en-US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51664"/>
        <c:crosses val="autoZero"/>
        <c:auto val="1"/>
        <c:lblAlgn val="ctr"/>
        <c:lblOffset val="100"/>
        <c:noMultiLvlLbl val="0"/>
      </c:catAx>
      <c:valAx>
        <c:axId val="7787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Sales Growth 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4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8727034120735"/>
          <c:y val="0.10648148148148148"/>
          <c:w val="0.79668285214348211"/>
          <c:h val="0.6432480314960630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Sheet6!$L$21:$P$21</c:f>
              <c:strCache>
                <c:ptCount val="5"/>
                <c:pt idx="0">
                  <c:v> 2017</c:v>
                </c:pt>
                <c:pt idx="1">
                  <c:v> 2018</c:v>
                </c:pt>
                <c:pt idx="2">
                  <c:v> 2019</c:v>
                </c:pt>
                <c:pt idx="3">
                  <c:v> 2020</c:v>
                </c:pt>
                <c:pt idx="4">
                  <c:v> 2021</c:v>
                </c:pt>
              </c:strCache>
            </c:strRef>
          </c:cat>
          <c:val>
            <c:numRef>
              <c:f>Sheet6!$L$22:$P$22</c:f>
              <c:numCache>
                <c:formatCode>General</c:formatCode>
                <c:ptCount val="5"/>
                <c:pt idx="0">
                  <c:v>189976</c:v>
                </c:pt>
                <c:pt idx="1">
                  <c:v>242995</c:v>
                </c:pt>
                <c:pt idx="2">
                  <c:v>288449</c:v>
                </c:pt>
                <c:pt idx="3">
                  <c:v>350234</c:v>
                </c:pt>
                <c:pt idx="4">
                  <c:v>409194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E-4809-A667-4ACD3CA5AE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453401688"/>
        <c:axId val="453402048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Sheet6!$L$21:$P$21</c:f>
              <c:strCache>
                <c:ptCount val="5"/>
                <c:pt idx="0">
                  <c:v> 2017</c:v>
                </c:pt>
                <c:pt idx="1">
                  <c:v> 2018</c:v>
                </c:pt>
                <c:pt idx="2">
                  <c:v> 2019</c:v>
                </c:pt>
                <c:pt idx="3">
                  <c:v> 2020</c:v>
                </c:pt>
                <c:pt idx="4">
                  <c:v> 2021</c:v>
                </c:pt>
              </c:strCache>
            </c:strRef>
          </c:cat>
          <c:val>
            <c:numRef>
              <c:f>Sheet6!$L$23:$P$23</c:f>
              <c:numCache>
                <c:formatCode>General</c:formatCode>
                <c:ptCount val="5"/>
                <c:pt idx="0">
                  <c:v>189976</c:v>
                </c:pt>
                <c:pt idx="1">
                  <c:v>242995</c:v>
                </c:pt>
                <c:pt idx="2">
                  <c:v>288449</c:v>
                </c:pt>
                <c:pt idx="3">
                  <c:v>350234</c:v>
                </c:pt>
                <c:pt idx="4">
                  <c:v>409194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2E-4809-A667-4ACD3CA5AE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3401688"/>
        <c:axId val="453402048"/>
      </c:lineChart>
      <c:catAx>
        <c:axId val="453401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02048"/>
        <c:auto val="1"/>
        <c:lblAlgn val="ctr"/>
        <c:lblOffset val="100"/>
        <c:noMultiLvlLbl val="0"/>
      </c:catAx>
      <c:valAx>
        <c:axId val="4534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01688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76220472440945"/>
          <c:y val="0.89872630504520268"/>
          <c:w val="0.3358670166229221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 Hotel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Sheet4!$A$4</c:f>
              <c:strCache>
                <c:ptCount val="1"/>
                <c:pt idx="0">
                  <c:v>Account 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C-48B2-AEE6-ABBF315F8C39}"/>
            </c:ext>
          </c:extLst>
        </c:ser>
        <c:ser>
          <c:idx val="1"/>
          <c:order val="1"/>
          <c:tx>
            <c:strRef>
              <c:f>Sheet4!$A$5</c:f>
              <c:strCache>
                <c:ptCount val="1"/>
                <c:pt idx="0">
                  <c:v>Event Venue 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Sheet4!$B$5:$F$5</c:f>
              <c:numCache>
                <c:formatCode>General</c:formatCode>
                <c:ptCount val="5"/>
                <c:pt idx="0">
                  <c:v>128</c:v>
                </c:pt>
                <c:pt idx="1">
                  <c:v>416</c:v>
                </c:pt>
                <c:pt idx="2">
                  <c:v>747</c:v>
                </c:pt>
                <c:pt idx="3">
                  <c:v>1028</c:v>
                </c:pt>
                <c:pt idx="4">
                  <c:v>6357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9C-48B2-AEE6-ABBF315F8C39}"/>
            </c:ext>
          </c:extLst>
        </c:ser>
        <c:ser>
          <c:idx val="2"/>
          <c:order val="2"/>
          <c:tx>
            <c:strRef>
              <c:f>Sheet4!$A$6</c:f>
              <c:strCache>
                <c:ptCount val="1"/>
                <c:pt idx="0">
                  <c:v>Event Venue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Sheet4!$B$6:$F$6</c:f>
              <c:numCache>
                <c:formatCode>General</c:formatCode>
                <c:ptCount val="5"/>
                <c:pt idx="0">
                  <c:v>299</c:v>
                </c:pt>
                <c:pt idx="1">
                  <c:v>657</c:v>
                </c:pt>
                <c:pt idx="2">
                  <c:v>6238</c:v>
                </c:pt>
                <c:pt idx="3">
                  <c:v>8922</c:v>
                </c:pt>
                <c:pt idx="4">
                  <c:v>9081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C-48B2-AEE6-ABBF315F8C39}"/>
            </c:ext>
          </c:extLst>
        </c:ser>
        <c:ser>
          <c:idx val="3"/>
          <c:order val="3"/>
          <c:tx>
            <c:strRef>
              <c:f>Sheet4!$A$7</c:f>
              <c:strCache>
                <c:ptCount val="1"/>
                <c:pt idx="0">
                  <c:v>Event Venue 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Sheet4!$B$7:$F$7</c:f>
              <c:numCache>
                <c:formatCode>General</c:formatCode>
                <c:ptCount val="5"/>
                <c:pt idx="0">
                  <c:v>870</c:v>
                </c:pt>
                <c:pt idx="1">
                  <c:v>2428</c:v>
                </c:pt>
                <c:pt idx="2">
                  <c:v>7386</c:v>
                </c:pt>
                <c:pt idx="3">
                  <c:v>8835</c:v>
                </c:pt>
                <c:pt idx="4">
                  <c:v>9766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9C-48B2-AEE6-ABBF315F8C39}"/>
            </c:ext>
          </c:extLst>
        </c:ser>
        <c:ser>
          <c:idx val="4"/>
          <c:order val="4"/>
          <c:tx>
            <c:strRef>
              <c:f>Sheet4!$A$8</c:f>
              <c:strCache>
                <c:ptCount val="1"/>
                <c:pt idx="0">
                  <c:v>Event Venue 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Sheet4!$B$8:$F$8</c:f>
              <c:numCache>
                <c:formatCode>General</c:formatCode>
                <c:ptCount val="5"/>
                <c:pt idx="0">
                  <c:v>576</c:v>
                </c:pt>
                <c:pt idx="1">
                  <c:v>2628</c:v>
                </c:pt>
                <c:pt idx="2">
                  <c:v>3612</c:v>
                </c:pt>
                <c:pt idx="3">
                  <c:v>5066</c:v>
                </c:pt>
                <c:pt idx="4">
                  <c:v>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9C-48B2-AEE6-ABBF315F8C39}"/>
            </c:ext>
          </c:extLst>
        </c:ser>
        <c:ser>
          <c:idx val="5"/>
          <c:order val="5"/>
          <c:tx>
            <c:strRef>
              <c:f>Sheet4!$A$9</c:f>
              <c:strCache>
                <c:ptCount val="1"/>
                <c:pt idx="0">
                  <c:v>Event Venue 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Sheet4!$B$9:$F$9</c:f>
              <c:numCache>
                <c:formatCode>General</c:formatCode>
                <c:ptCount val="5"/>
                <c:pt idx="0">
                  <c:v>1082</c:v>
                </c:pt>
                <c:pt idx="1">
                  <c:v>3353</c:v>
                </c:pt>
                <c:pt idx="2">
                  <c:v>6351</c:v>
                </c:pt>
                <c:pt idx="3">
                  <c:v>8550</c:v>
                </c:pt>
                <c:pt idx="4">
                  <c:v>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9C-48B2-AEE6-ABBF315F8C39}"/>
            </c:ext>
          </c:extLst>
        </c:ser>
        <c:ser>
          <c:idx val="6"/>
          <c:order val="6"/>
          <c:tx>
            <c:strRef>
              <c:f>Sheet4!$A$10</c:f>
              <c:strCache>
                <c:ptCount val="1"/>
                <c:pt idx="0">
                  <c:v>Event Venue 13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Sheet4!$B$10:$F$10</c:f>
              <c:numCache>
                <c:formatCode>General</c:formatCode>
                <c:ptCount val="5"/>
                <c:pt idx="0">
                  <c:v>1263</c:v>
                </c:pt>
                <c:pt idx="1">
                  <c:v>2517</c:v>
                </c:pt>
                <c:pt idx="2">
                  <c:v>8042</c:v>
                </c:pt>
                <c:pt idx="3">
                  <c:v>8222</c:v>
                </c:pt>
                <c:pt idx="4">
                  <c:v>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9C-48B2-AEE6-ABBF315F8C39}"/>
            </c:ext>
          </c:extLst>
        </c:ser>
        <c:ser>
          <c:idx val="7"/>
          <c:order val="7"/>
          <c:tx>
            <c:strRef>
              <c:f>Sheet4!$A$11</c:f>
              <c:strCache>
                <c:ptCount val="1"/>
                <c:pt idx="0">
                  <c:v>Event Venue 15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Sheet4!$B$11:$F$11</c:f>
              <c:numCache>
                <c:formatCode>General</c:formatCode>
                <c:ptCount val="5"/>
                <c:pt idx="0">
                  <c:v>1014</c:v>
                </c:pt>
                <c:pt idx="1">
                  <c:v>2254</c:v>
                </c:pt>
                <c:pt idx="2">
                  <c:v>4534</c:v>
                </c:pt>
                <c:pt idx="3">
                  <c:v>6796</c:v>
                </c:pt>
                <c:pt idx="4">
                  <c:v>7730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9C-48B2-AEE6-ABBF315F8C39}"/>
            </c:ext>
          </c:extLst>
        </c:ser>
        <c:ser>
          <c:idx val="8"/>
          <c:order val="8"/>
          <c:tx>
            <c:strRef>
              <c:f>Sheet4!$A$12</c:f>
              <c:strCache>
                <c:ptCount val="1"/>
                <c:pt idx="0">
                  <c:v>Event Venue 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Sheet4!$B$12:$F$12</c:f>
              <c:numCache>
                <c:formatCode>General</c:formatCode>
                <c:ptCount val="5"/>
                <c:pt idx="0">
                  <c:v>1357</c:v>
                </c:pt>
                <c:pt idx="1">
                  <c:v>4189</c:v>
                </c:pt>
                <c:pt idx="2">
                  <c:v>5407</c:v>
                </c:pt>
                <c:pt idx="3">
                  <c:v>6233</c:v>
                </c:pt>
                <c:pt idx="4">
                  <c:v>9681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9C-48B2-AEE6-ABBF315F8C39}"/>
            </c:ext>
          </c:extLst>
        </c:ser>
        <c:ser>
          <c:idx val="9"/>
          <c:order val="9"/>
          <c:tx>
            <c:strRef>
              <c:f>Sheet4!$A$13</c:f>
              <c:strCache>
                <c:ptCount val="1"/>
                <c:pt idx="0">
                  <c:v>Event Venue 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Sheet4!$B$13:$F$13</c:f>
              <c:numCache>
                <c:formatCode>General</c:formatCode>
                <c:ptCount val="5"/>
                <c:pt idx="0">
                  <c:v>1497</c:v>
                </c:pt>
                <c:pt idx="1">
                  <c:v>1768</c:v>
                </c:pt>
                <c:pt idx="2">
                  <c:v>2804</c:v>
                </c:pt>
                <c:pt idx="3">
                  <c:v>5718</c:v>
                </c:pt>
                <c:pt idx="4">
                  <c:v>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9C-48B2-AEE6-ABBF315F8C39}"/>
            </c:ext>
          </c:extLst>
        </c:ser>
        <c:ser>
          <c:idx val="10"/>
          <c:order val="10"/>
          <c:tx>
            <c:strRef>
              <c:f>Sheet4!$A$14</c:f>
              <c:strCache>
                <c:ptCount val="1"/>
                <c:pt idx="0">
                  <c:v>Event Venue 14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Sheet4!$B$14:$F$14</c:f>
              <c:numCache>
                <c:formatCode>General</c:formatCode>
                <c:ptCount val="5"/>
                <c:pt idx="0">
                  <c:v>1032</c:v>
                </c:pt>
                <c:pt idx="1">
                  <c:v>3919</c:v>
                </c:pt>
                <c:pt idx="2">
                  <c:v>4466</c:v>
                </c:pt>
                <c:pt idx="3">
                  <c:v>5568</c:v>
                </c:pt>
                <c:pt idx="4">
                  <c:v>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9C-48B2-AEE6-ABBF315F8C39}"/>
            </c:ext>
          </c:extLst>
        </c:ser>
        <c:ser>
          <c:idx val="11"/>
          <c:order val="11"/>
          <c:tx>
            <c:strRef>
              <c:f>Sheet4!$A$15</c:f>
              <c:strCache>
                <c:ptCount val="1"/>
                <c:pt idx="0">
                  <c:v>Event Venue 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Sheet4!$B$15:$F$15</c:f>
              <c:numCache>
                <c:formatCode>General</c:formatCode>
                <c:ptCount val="5"/>
                <c:pt idx="0">
                  <c:v>1323</c:v>
                </c:pt>
                <c:pt idx="1">
                  <c:v>4963</c:v>
                </c:pt>
                <c:pt idx="2">
                  <c:v>6292</c:v>
                </c:pt>
                <c:pt idx="3">
                  <c:v>6728</c:v>
                </c:pt>
                <c:pt idx="4">
                  <c:v>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9C-48B2-AEE6-ABBF315F8C39}"/>
            </c:ext>
          </c:extLst>
        </c:ser>
        <c:ser>
          <c:idx val="12"/>
          <c:order val="12"/>
          <c:tx>
            <c:strRef>
              <c:f>Sheet4!$A$16</c:f>
              <c:strCache>
                <c:ptCount val="1"/>
                <c:pt idx="0">
                  <c:v>Event Venue 8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Sheet4!$B$16:$F$16</c:f>
              <c:numCache>
                <c:formatCode>General</c:formatCode>
                <c:ptCount val="5"/>
                <c:pt idx="0">
                  <c:v>9791</c:v>
                </c:pt>
                <c:pt idx="1">
                  <c:v>9610</c:v>
                </c:pt>
                <c:pt idx="2">
                  <c:v>7534</c:v>
                </c:pt>
                <c:pt idx="3">
                  <c:v>5080</c:v>
                </c:pt>
                <c:pt idx="4">
                  <c:v>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9C-48B2-AEE6-ABBF315F8C39}"/>
            </c:ext>
          </c:extLst>
        </c:ser>
        <c:ser>
          <c:idx val="13"/>
          <c:order val="13"/>
          <c:tx>
            <c:strRef>
              <c:f>Sheet4!$A$17</c:f>
              <c:strCache>
                <c:ptCount val="1"/>
                <c:pt idx="0">
                  <c:v>Event Venue 12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Sheet4!$B$17:$F$17</c:f>
              <c:numCache>
                <c:formatCode>General</c:formatCode>
                <c:ptCount val="5"/>
                <c:pt idx="0">
                  <c:v>8034</c:v>
                </c:pt>
                <c:pt idx="1">
                  <c:v>6541</c:v>
                </c:pt>
                <c:pt idx="2">
                  <c:v>3311</c:v>
                </c:pt>
                <c:pt idx="3">
                  <c:v>3254</c:v>
                </c:pt>
                <c:pt idx="4">
                  <c:v>2687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9C-48B2-AEE6-ABBF315F8C39}"/>
            </c:ext>
          </c:extLst>
        </c:ser>
        <c:ser>
          <c:idx val="14"/>
          <c:order val="14"/>
          <c:tx>
            <c:strRef>
              <c:f>Sheet4!$A$18</c:f>
              <c:strCache>
                <c:ptCount val="1"/>
                <c:pt idx="0">
                  <c:v>Event Venue 4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Sheet4!$B$18:$F$18</c:f>
              <c:numCache>
                <c:formatCode>General</c:formatCode>
                <c:ptCount val="5"/>
                <c:pt idx="0">
                  <c:v>8466</c:v>
                </c:pt>
                <c:pt idx="1">
                  <c:v>4079</c:v>
                </c:pt>
                <c:pt idx="2">
                  <c:v>2797</c:v>
                </c:pt>
                <c:pt idx="3">
                  <c:v>2245</c:v>
                </c:pt>
                <c:pt idx="4">
                  <c:v>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9C-48B2-AEE6-ABBF315F8C39}"/>
            </c:ext>
          </c:extLst>
        </c:ser>
        <c:ser>
          <c:idx val="15"/>
          <c:order val="15"/>
          <c:tx>
            <c:strRef>
              <c:f>Sheet4!$A$19</c:f>
              <c:strCache>
                <c:ptCount val="1"/>
                <c:pt idx="0">
                  <c:v>Event Venue 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Sheet4!$B$4:$F$4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Sheet4!$B$19:$F$19</c:f>
              <c:numCache>
                <c:formatCode>General</c:formatCode>
                <c:ptCount val="5"/>
                <c:pt idx="0">
                  <c:v>8156</c:v>
                </c:pt>
                <c:pt idx="1">
                  <c:v>1245</c:v>
                </c:pt>
                <c:pt idx="2">
                  <c:v>791</c:v>
                </c:pt>
                <c:pt idx="3">
                  <c:v>338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E9C-48B2-AEE6-ABBF315F8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256000"/>
        <c:axId val="598257080"/>
      </c:lineChart>
      <c:catAx>
        <c:axId val="598256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8616275807202042"/>
              <c:y val="0.65359607826799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57080"/>
        <c:crosses val="autoZero"/>
        <c:auto val="1"/>
        <c:lblAlgn val="ctr"/>
        <c:lblOffset val="100"/>
        <c:noMultiLvlLbl val="0"/>
      </c:catAx>
      <c:valAx>
        <c:axId val="59825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5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 Nightclub </a:t>
            </a:r>
          </a:p>
        </c:rich>
      </c:tx>
      <c:layout>
        <c:manualLayout>
          <c:xMode val="edge"/>
          <c:yMode val="edge"/>
          <c:x val="0.406715223097112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Sheet3!$A$4</c:f>
              <c:strCache>
                <c:ptCount val="1"/>
                <c:pt idx="0">
                  <c:v>Account 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E-4A61-9CE8-D4C57F1E32E8}"/>
            </c:ext>
          </c:extLst>
        </c:ser>
        <c:ser>
          <c:idx val="1"/>
          <c:order val="1"/>
          <c:tx>
            <c:strRef>
              <c:f>Sheet3!$A$5</c:f>
              <c:strCache>
                <c:ptCount val="1"/>
                <c:pt idx="0">
                  <c:v>Nightclub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Sheet3!$B$5:$F$5</c:f>
              <c:numCache>
                <c:formatCode>General</c:formatCode>
                <c:ptCount val="5"/>
                <c:pt idx="0">
                  <c:v>138</c:v>
                </c:pt>
                <c:pt idx="1">
                  <c:v>286</c:v>
                </c:pt>
                <c:pt idx="2">
                  <c:v>6750</c:v>
                </c:pt>
                <c:pt idx="3">
                  <c:v>8254</c:v>
                </c:pt>
                <c:pt idx="4">
                  <c:v>8656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E-4A61-9CE8-D4C57F1E32E8}"/>
            </c:ext>
          </c:extLst>
        </c:ser>
        <c:ser>
          <c:idx val="2"/>
          <c:order val="2"/>
          <c:tx>
            <c:strRef>
              <c:f>Sheet3!$A$6</c:f>
              <c:strCache>
                <c:ptCount val="1"/>
                <c:pt idx="0">
                  <c:v>Nightclub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Sheet3!$B$6:$F$6</c:f>
              <c:numCache>
                <c:formatCode>General</c:formatCode>
                <c:ptCount val="5"/>
                <c:pt idx="0">
                  <c:v>376</c:v>
                </c:pt>
                <c:pt idx="1">
                  <c:v>889</c:v>
                </c:pt>
                <c:pt idx="2">
                  <c:v>4373</c:v>
                </c:pt>
                <c:pt idx="3">
                  <c:v>6803</c:v>
                </c:pt>
                <c:pt idx="4">
                  <c:v>7578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E-4A61-9CE8-D4C57F1E32E8}"/>
            </c:ext>
          </c:extLst>
        </c:ser>
        <c:ser>
          <c:idx val="3"/>
          <c:order val="3"/>
          <c:tx>
            <c:strRef>
              <c:f>Sheet3!$A$7</c:f>
              <c:strCache>
                <c:ptCount val="1"/>
                <c:pt idx="0">
                  <c:v>Nightclub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Sheet3!$B$7:$F$7</c:f>
              <c:numCache>
                <c:formatCode>General</c:formatCode>
                <c:ptCount val="5"/>
                <c:pt idx="0">
                  <c:v>431</c:v>
                </c:pt>
                <c:pt idx="1">
                  <c:v>6231</c:v>
                </c:pt>
                <c:pt idx="2">
                  <c:v>7478</c:v>
                </c:pt>
                <c:pt idx="3">
                  <c:v>8039</c:v>
                </c:pt>
                <c:pt idx="4">
                  <c:v>8271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AE-4A61-9CE8-D4C57F1E32E8}"/>
            </c:ext>
          </c:extLst>
        </c:ser>
        <c:ser>
          <c:idx val="4"/>
          <c:order val="4"/>
          <c:tx>
            <c:strRef>
              <c:f>Sheet3!$A$8</c:f>
              <c:strCache>
                <c:ptCount val="1"/>
                <c:pt idx="0">
                  <c:v>Nightclub 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Sheet3!$B$8:$F$8</c:f>
              <c:numCache>
                <c:formatCode>General</c:formatCode>
                <c:ptCount val="5"/>
                <c:pt idx="0">
                  <c:v>488</c:v>
                </c:pt>
                <c:pt idx="1">
                  <c:v>5535</c:v>
                </c:pt>
                <c:pt idx="2">
                  <c:v>5775</c:v>
                </c:pt>
                <c:pt idx="3">
                  <c:v>7661</c:v>
                </c:pt>
                <c:pt idx="4">
                  <c:v>9206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AE-4A61-9CE8-D4C57F1E32E8}"/>
            </c:ext>
          </c:extLst>
        </c:ser>
        <c:ser>
          <c:idx val="5"/>
          <c:order val="5"/>
          <c:tx>
            <c:strRef>
              <c:f>Sheet3!$A$9</c:f>
              <c:strCache>
                <c:ptCount val="1"/>
                <c:pt idx="0">
                  <c:v>Nightclub 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Sheet3!$B$9:$F$9</c:f>
              <c:numCache>
                <c:formatCode>General</c:formatCode>
                <c:ptCount val="5"/>
                <c:pt idx="0">
                  <c:v>742</c:v>
                </c:pt>
                <c:pt idx="1">
                  <c:v>3751</c:v>
                </c:pt>
                <c:pt idx="2">
                  <c:v>4423</c:v>
                </c:pt>
                <c:pt idx="3">
                  <c:v>8733</c:v>
                </c:pt>
                <c:pt idx="4">
                  <c:v>9909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AE-4A61-9CE8-D4C57F1E32E8}"/>
            </c:ext>
          </c:extLst>
        </c:ser>
        <c:ser>
          <c:idx val="6"/>
          <c:order val="6"/>
          <c:tx>
            <c:strRef>
              <c:f>Sheet3!$A$10</c:f>
              <c:strCache>
                <c:ptCount val="1"/>
                <c:pt idx="0">
                  <c:v>Nightclub 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Sheet3!$B$10:$F$10</c:f>
              <c:numCache>
                <c:formatCode>General</c:formatCode>
                <c:ptCount val="5"/>
                <c:pt idx="0">
                  <c:v>1038</c:v>
                </c:pt>
                <c:pt idx="1">
                  <c:v>3615</c:v>
                </c:pt>
                <c:pt idx="2">
                  <c:v>3712</c:v>
                </c:pt>
                <c:pt idx="3">
                  <c:v>5819</c:v>
                </c:pt>
                <c:pt idx="4">
                  <c:v>9589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AE-4A61-9CE8-D4C57F1E32E8}"/>
            </c:ext>
          </c:extLst>
        </c:ser>
        <c:ser>
          <c:idx val="7"/>
          <c:order val="7"/>
          <c:tx>
            <c:strRef>
              <c:f>Sheet3!$A$11</c:f>
              <c:strCache>
                <c:ptCount val="1"/>
                <c:pt idx="0">
                  <c:v>Nightclub 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Sheet3!$B$11:$F$11</c:f>
              <c:numCache>
                <c:formatCode>General</c:formatCode>
                <c:ptCount val="5"/>
                <c:pt idx="0">
                  <c:v>1092</c:v>
                </c:pt>
                <c:pt idx="1">
                  <c:v>3140</c:v>
                </c:pt>
                <c:pt idx="2">
                  <c:v>4123</c:v>
                </c:pt>
                <c:pt idx="3">
                  <c:v>4366</c:v>
                </c:pt>
                <c:pt idx="4">
                  <c:v>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AE-4A61-9CE8-D4C57F1E32E8}"/>
            </c:ext>
          </c:extLst>
        </c:ser>
        <c:ser>
          <c:idx val="8"/>
          <c:order val="8"/>
          <c:tx>
            <c:strRef>
              <c:f>Sheet3!$A$12</c:f>
              <c:strCache>
                <c:ptCount val="1"/>
                <c:pt idx="0">
                  <c:v>Nightclub 14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Sheet3!$B$12:$F$12</c:f>
              <c:numCache>
                <c:formatCode>General</c:formatCode>
                <c:ptCount val="5"/>
                <c:pt idx="0">
                  <c:v>1290</c:v>
                </c:pt>
                <c:pt idx="1">
                  <c:v>4033</c:v>
                </c:pt>
                <c:pt idx="2">
                  <c:v>6956</c:v>
                </c:pt>
                <c:pt idx="3">
                  <c:v>7929</c:v>
                </c:pt>
                <c:pt idx="4">
                  <c:v>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AE-4A61-9CE8-D4C57F1E32E8}"/>
            </c:ext>
          </c:extLst>
        </c:ser>
        <c:ser>
          <c:idx val="9"/>
          <c:order val="9"/>
          <c:tx>
            <c:strRef>
              <c:f>Sheet3!$A$13</c:f>
              <c:strCache>
                <c:ptCount val="1"/>
                <c:pt idx="0">
                  <c:v>Nightclub 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Sheet3!$B$13:$F$13</c:f>
              <c:numCache>
                <c:formatCode>General</c:formatCode>
                <c:ptCount val="5"/>
                <c:pt idx="0">
                  <c:v>2541</c:v>
                </c:pt>
                <c:pt idx="1">
                  <c:v>3794</c:v>
                </c:pt>
                <c:pt idx="2">
                  <c:v>3984</c:v>
                </c:pt>
                <c:pt idx="3">
                  <c:v>8803</c:v>
                </c:pt>
                <c:pt idx="4">
                  <c:v>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AE-4A61-9CE8-D4C57F1E32E8}"/>
            </c:ext>
          </c:extLst>
        </c:ser>
        <c:ser>
          <c:idx val="10"/>
          <c:order val="10"/>
          <c:tx>
            <c:strRef>
              <c:f>Sheet3!$A$14</c:f>
              <c:strCache>
                <c:ptCount val="1"/>
                <c:pt idx="0">
                  <c:v>Nightclub 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Sheet3!$B$14:$F$14</c:f>
              <c:numCache>
                <c:formatCode>General</c:formatCode>
                <c:ptCount val="5"/>
                <c:pt idx="0">
                  <c:v>2519</c:v>
                </c:pt>
                <c:pt idx="1">
                  <c:v>3938</c:v>
                </c:pt>
                <c:pt idx="2">
                  <c:v>5190</c:v>
                </c:pt>
                <c:pt idx="3">
                  <c:v>8203</c:v>
                </c:pt>
                <c:pt idx="4">
                  <c:v>8780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AE-4A61-9CE8-D4C57F1E32E8}"/>
            </c:ext>
          </c:extLst>
        </c:ser>
        <c:ser>
          <c:idx val="11"/>
          <c:order val="11"/>
          <c:tx>
            <c:strRef>
              <c:f>Sheet3!$A$15</c:f>
              <c:strCache>
                <c:ptCount val="1"/>
                <c:pt idx="0">
                  <c:v>Nightclub 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Sheet3!$B$15:$F$15</c:f>
              <c:numCache>
                <c:formatCode>General</c:formatCode>
                <c:ptCount val="5"/>
                <c:pt idx="0">
                  <c:v>3297</c:v>
                </c:pt>
                <c:pt idx="1">
                  <c:v>4866</c:v>
                </c:pt>
                <c:pt idx="2">
                  <c:v>4928</c:v>
                </c:pt>
                <c:pt idx="3">
                  <c:v>8451</c:v>
                </c:pt>
                <c:pt idx="4">
                  <c:v>9585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DAE-4A61-9CE8-D4C57F1E32E8}"/>
            </c:ext>
          </c:extLst>
        </c:ser>
        <c:ser>
          <c:idx val="12"/>
          <c:order val="12"/>
          <c:tx>
            <c:strRef>
              <c:f>Sheet3!$A$16</c:f>
              <c:strCache>
                <c:ptCount val="1"/>
                <c:pt idx="0">
                  <c:v>Nightclub 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Sheet3!$B$16:$F$16</c:f>
              <c:numCache>
                <c:formatCode>General</c:formatCode>
                <c:ptCount val="5"/>
                <c:pt idx="0">
                  <c:v>8873</c:v>
                </c:pt>
                <c:pt idx="1">
                  <c:v>8484</c:v>
                </c:pt>
                <c:pt idx="2">
                  <c:v>7883</c:v>
                </c:pt>
                <c:pt idx="3">
                  <c:v>7499</c:v>
                </c:pt>
                <c:pt idx="4">
                  <c:v>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AE-4A61-9CE8-D4C57F1E32E8}"/>
            </c:ext>
          </c:extLst>
        </c:ser>
        <c:ser>
          <c:idx val="13"/>
          <c:order val="13"/>
          <c:tx>
            <c:strRef>
              <c:f>Sheet3!$A$17</c:f>
              <c:strCache>
                <c:ptCount val="1"/>
                <c:pt idx="0">
                  <c:v>Nightclub 13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Sheet3!$B$17:$F$17</c:f>
              <c:numCache>
                <c:formatCode>General</c:formatCode>
                <c:ptCount val="5"/>
                <c:pt idx="0">
                  <c:v>8891</c:v>
                </c:pt>
                <c:pt idx="1">
                  <c:v>5952</c:v>
                </c:pt>
                <c:pt idx="2">
                  <c:v>5914</c:v>
                </c:pt>
                <c:pt idx="3">
                  <c:v>5405</c:v>
                </c:pt>
                <c:pt idx="4">
                  <c:v>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DAE-4A61-9CE8-D4C57F1E32E8}"/>
            </c:ext>
          </c:extLst>
        </c:ser>
        <c:ser>
          <c:idx val="14"/>
          <c:order val="14"/>
          <c:tx>
            <c:strRef>
              <c:f>Sheet3!$A$18</c:f>
              <c:strCache>
                <c:ptCount val="1"/>
                <c:pt idx="0">
                  <c:v>Nightclub 8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Sheet3!$B$18:$F$18</c:f>
              <c:numCache>
                <c:formatCode>General</c:formatCode>
                <c:ptCount val="5"/>
                <c:pt idx="0">
                  <c:v>7703</c:v>
                </c:pt>
                <c:pt idx="1">
                  <c:v>6957</c:v>
                </c:pt>
                <c:pt idx="2">
                  <c:v>3898</c:v>
                </c:pt>
                <c:pt idx="3">
                  <c:v>1857</c:v>
                </c:pt>
                <c:pt idx="4">
                  <c:v>1512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AE-4A61-9CE8-D4C57F1E32E8}"/>
            </c:ext>
          </c:extLst>
        </c:ser>
        <c:ser>
          <c:idx val="15"/>
          <c:order val="15"/>
          <c:tx>
            <c:strRef>
              <c:f>Sheet3!$A$19</c:f>
              <c:strCache>
                <c:ptCount val="1"/>
                <c:pt idx="0">
                  <c:v>Nightclub 11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Sheet3!$B$19:$F$19</c:f>
              <c:numCache>
                <c:formatCode>General</c:formatCode>
                <c:ptCount val="5"/>
                <c:pt idx="0">
                  <c:v>7840</c:v>
                </c:pt>
                <c:pt idx="1">
                  <c:v>5804</c:v>
                </c:pt>
                <c:pt idx="2">
                  <c:v>4259</c:v>
                </c:pt>
                <c:pt idx="3">
                  <c:v>4243</c:v>
                </c:pt>
                <c:pt idx="4">
                  <c:v>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DAE-4A61-9CE8-D4C57F1E3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35880"/>
        <c:axId val="113339480"/>
      </c:lineChart>
      <c:catAx>
        <c:axId val="11333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883232535905726"/>
              <c:y val="0.6448670660353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9480"/>
        <c:crosses val="autoZero"/>
        <c:auto val="1"/>
        <c:lblAlgn val="ctr"/>
        <c:lblOffset val="100"/>
        <c:noMultiLvlLbl val="0"/>
      </c:catAx>
      <c:valAx>
        <c:axId val="11333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to Bar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Account 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6-4104-8414-04F65567D8A7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Bar 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Sheet2!$B$5:$F$5</c:f>
              <c:numCache>
                <c:formatCode>General</c:formatCode>
                <c:ptCount val="5"/>
                <c:pt idx="0">
                  <c:v>24</c:v>
                </c:pt>
                <c:pt idx="1">
                  <c:v>1797</c:v>
                </c:pt>
                <c:pt idx="2">
                  <c:v>3548</c:v>
                </c:pt>
                <c:pt idx="3">
                  <c:v>3668</c:v>
                </c:pt>
                <c:pt idx="4">
                  <c:v>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6-4104-8414-04F65567D8A7}"/>
            </c:ext>
          </c:extLst>
        </c:ser>
        <c:ser>
          <c:idx val="2"/>
          <c:order val="2"/>
          <c:tx>
            <c:strRef>
              <c:f>Sheet2!$A$6</c:f>
              <c:strCache>
                <c:ptCount val="1"/>
                <c:pt idx="0">
                  <c:v>Bar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Sheet2!$B$6:$F$6</c:f>
              <c:numCache>
                <c:formatCode>General</c:formatCode>
                <c:ptCount val="5"/>
                <c:pt idx="0">
                  <c:v>861</c:v>
                </c:pt>
                <c:pt idx="1">
                  <c:v>1314</c:v>
                </c:pt>
                <c:pt idx="2">
                  <c:v>1810</c:v>
                </c:pt>
                <c:pt idx="3">
                  <c:v>6510</c:v>
                </c:pt>
                <c:pt idx="4">
                  <c:v>9271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C6-4104-8414-04F65567D8A7}"/>
            </c:ext>
          </c:extLst>
        </c:ser>
        <c:ser>
          <c:idx val="3"/>
          <c:order val="3"/>
          <c:tx>
            <c:strRef>
              <c:f>Sheet2!$A$7</c:f>
              <c:strCache>
                <c:ptCount val="1"/>
                <c:pt idx="0">
                  <c:v>Bar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Sheet2!$B$7:$F$7</c:f>
              <c:numCache>
                <c:formatCode>General</c:formatCode>
                <c:ptCount val="5"/>
                <c:pt idx="0">
                  <c:v>906</c:v>
                </c:pt>
                <c:pt idx="1">
                  <c:v>1251</c:v>
                </c:pt>
                <c:pt idx="2">
                  <c:v>2897</c:v>
                </c:pt>
                <c:pt idx="3">
                  <c:v>4499</c:v>
                </c:pt>
                <c:pt idx="4">
                  <c:v>9428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C6-4104-8414-04F65567D8A7}"/>
            </c:ext>
          </c:extLst>
        </c:ser>
        <c:ser>
          <c:idx val="4"/>
          <c:order val="4"/>
          <c:tx>
            <c:strRef>
              <c:f>Sheet2!$A$8</c:f>
              <c:strCache>
                <c:ptCount val="1"/>
                <c:pt idx="0">
                  <c:v>Bar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Sheet2!$B$8:$F$8</c:f>
              <c:numCache>
                <c:formatCode>General</c:formatCode>
                <c:ptCount val="5"/>
                <c:pt idx="0">
                  <c:v>1209</c:v>
                </c:pt>
                <c:pt idx="1">
                  <c:v>1534</c:v>
                </c:pt>
                <c:pt idx="2">
                  <c:v>1634</c:v>
                </c:pt>
                <c:pt idx="3">
                  <c:v>4302</c:v>
                </c:pt>
                <c:pt idx="4">
                  <c:v>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C6-4104-8414-04F65567D8A7}"/>
            </c:ext>
          </c:extLst>
        </c:ser>
        <c:ser>
          <c:idx val="5"/>
          <c:order val="5"/>
          <c:tx>
            <c:strRef>
              <c:f>Sheet2!$A$9</c:f>
              <c:strCache>
                <c:ptCount val="1"/>
                <c:pt idx="0">
                  <c:v>Bar 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Sheet2!$B$9:$F$9</c:f>
              <c:numCache>
                <c:formatCode>General</c:formatCode>
                <c:ptCount val="5"/>
                <c:pt idx="0">
                  <c:v>1581</c:v>
                </c:pt>
                <c:pt idx="1">
                  <c:v>4799</c:v>
                </c:pt>
                <c:pt idx="2">
                  <c:v>6582</c:v>
                </c:pt>
                <c:pt idx="3">
                  <c:v>9024</c:v>
                </c:pt>
                <c:pt idx="4">
                  <c:v>9759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C6-4104-8414-04F65567D8A7}"/>
            </c:ext>
          </c:extLst>
        </c:ser>
        <c:ser>
          <c:idx val="6"/>
          <c:order val="6"/>
          <c:tx>
            <c:strRef>
              <c:f>Sheet2!$A$10</c:f>
              <c:strCache>
                <c:ptCount val="1"/>
                <c:pt idx="0">
                  <c:v>Bar 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Sheet2!$B$10:$F$10</c:f>
              <c:numCache>
                <c:formatCode>General</c:formatCode>
                <c:ptCount val="5"/>
                <c:pt idx="0">
                  <c:v>1982</c:v>
                </c:pt>
                <c:pt idx="1">
                  <c:v>5388</c:v>
                </c:pt>
                <c:pt idx="2">
                  <c:v>7063</c:v>
                </c:pt>
                <c:pt idx="3">
                  <c:v>7208</c:v>
                </c:pt>
                <c:pt idx="4">
                  <c:v>9093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C6-4104-8414-04F65567D8A7}"/>
            </c:ext>
          </c:extLst>
        </c:ser>
        <c:ser>
          <c:idx val="7"/>
          <c:order val="7"/>
          <c:tx>
            <c:strRef>
              <c:f>Sheet2!$A$11</c:f>
              <c:strCache>
                <c:ptCount val="1"/>
                <c:pt idx="0">
                  <c:v>Bar 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Sheet2!$B$11:$F$11</c:f>
              <c:numCache>
                <c:formatCode>General</c:formatCode>
                <c:ptCount val="5"/>
                <c:pt idx="0">
                  <c:v>1421</c:v>
                </c:pt>
                <c:pt idx="1">
                  <c:v>1893</c:v>
                </c:pt>
                <c:pt idx="2">
                  <c:v>2722</c:v>
                </c:pt>
                <c:pt idx="3">
                  <c:v>4410</c:v>
                </c:pt>
                <c:pt idx="4">
                  <c:v>5873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C6-4104-8414-04F65567D8A7}"/>
            </c:ext>
          </c:extLst>
        </c:ser>
        <c:ser>
          <c:idx val="8"/>
          <c:order val="8"/>
          <c:tx>
            <c:strRef>
              <c:f>Sheet2!$A$12</c:f>
              <c:strCache>
                <c:ptCount val="1"/>
                <c:pt idx="0">
                  <c:v>Bar 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Sheet2!$B$12:$F$12</c:f>
              <c:numCache>
                <c:formatCode>General</c:formatCode>
                <c:ptCount val="5"/>
                <c:pt idx="0">
                  <c:v>1530</c:v>
                </c:pt>
                <c:pt idx="1">
                  <c:v>1620</c:v>
                </c:pt>
                <c:pt idx="2">
                  <c:v>2027</c:v>
                </c:pt>
                <c:pt idx="3">
                  <c:v>4881</c:v>
                </c:pt>
                <c:pt idx="4">
                  <c:v>6002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C6-4104-8414-04F65567D8A7}"/>
            </c:ext>
          </c:extLst>
        </c:ser>
        <c:ser>
          <c:idx val="9"/>
          <c:order val="9"/>
          <c:tx>
            <c:strRef>
              <c:f>Sheet2!$A$13</c:f>
              <c:strCache>
                <c:ptCount val="1"/>
                <c:pt idx="0">
                  <c:v>Bar 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Sheet2!$B$13:$F$13</c:f>
              <c:numCache>
                <c:formatCode>General</c:formatCode>
                <c:ptCount val="5"/>
                <c:pt idx="0">
                  <c:v>2341</c:v>
                </c:pt>
                <c:pt idx="1">
                  <c:v>6105</c:v>
                </c:pt>
                <c:pt idx="2">
                  <c:v>7777</c:v>
                </c:pt>
                <c:pt idx="3">
                  <c:v>7891</c:v>
                </c:pt>
                <c:pt idx="4">
                  <c:v>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C6-4104-8414-04F65567D8A7}"/>
            </c:ext>
          </c:extLst>
        </c:ser>
        <c:ser>
          <c:idx val="10"/>
          <c:order val="10"/>
          <c:tx>
            <c:strRef>
              <c:f>Sheet2!$A$14</c:f>
              <c:strCache>
                <c:ptCount val="1"/>
                <c:pt idx="0">
                  <c:v>Bar 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Sheet2!$B$14:$F$14</c:f>
              <c:numCache>
                <c:formatCode>General</c:formatCode>
                <c:ptCount val="5"/>
                <c:pt idx="0">
                  <c:v>1532</c:v>
                </c:pt>
                <c:pt idx="1">
                  <c:v>2678</c:v>
                </c:pt>
                <c:pt idx="2">
                  <c:v>4068</c:v>
                </c:pt>
                <c:pt idx="3">
                  <c:v>4278</c:v>
                </c:pt>
                <c:pt idx="4">
                  <c:v>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C6-4104-8414-04F65567D8A7}"/>
            </c:ext>
          </c:extLst>
        </c:ser>
        <c:ser>
          <c:idx val="11"/>
          <c:order val="11"/>
          <c:tx>
            <c:strRef>
              <c:f>Sheet2!$A$15</c:f>
              <c:strCache>
                <c:ptCount val="1"/>
                <c:pt idx="0">
                  <c:v>Bar 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Sheet2!$B$15:$F$15</c:f>
              <c:numCache>
                <c:formatCode>General</c:formatCode>
                <c:ptCount val="5"/>
                <c:pt idx="0">
                  <c:v>2786</c:v>
                </c:pt>
                <c:pt idx="1">
                  <c:v>3804</c:v>
                </c:pt>
                <c:pt idx="2">
                  <c:v>4121</c:v>
                </c:pt>
                <c:pt idx="3">
                  <c:v>6210</c:v>
                </c:pt>
                <c:pt idx="4">
                  <c:v>6909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3C6-4104-8414-04F65567D8A7}"/>
            </c:ext>
          </c:extLst>
        </c:ser>
        <c:ser>
          <c:idx val="12"/>
          <c:order val="12"/>
          <c:tx>
            <c:strRef>
              <c:f>Sheet2!$A$16</c:f>
              <c:strCache>
                <c:ptCount val="1"/>
                <c:pt idx="0">
                  <c:v>Bar 11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Sheet2!$B$16:$F$16</c:f>
              <c:numCache>
                <c:formatCode>General</c:formatCode>
                <c:ptCount val="5"/>
                <c:pt idx="0">
                  <c:v>7555</c:v>
                </c:pt>
                <c:pt idx="1">
                  <c:v>6551</c:v>
                </c:pt>
                <c:pt idx="2">
                  <c:v>5188</c:v>
                </c:pt>
                <c:pt idx="3">
                  <c:v>3436</c:v>
                </c:pt>
                <c:pt idx="4">
                  <c:v>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C6-4104-8414-04F65567D8A7}"/>
            </c:ext>
          </c:extLst>
        </c:ser>
        <c:ser>
          <c:idx val="13"/>
          <c:order val="13"/>
          <c:tx>
            <c:strRef>
              <c:f>Sheet2!$A$17</c:f>
              <c:strCache>
                <c:ptCount val="1"/>
                <c:pt idx="0">
                  <c:v>Bar 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Sheet2!$B$17:$F$17</c:f>
              <c:numCache>
                <c:formatCode>General</c:formatCode>
                <c:ptCount val="5"/>
                <c:pt idx="0">
                  <c:v>9766</c:v>
                </c:pt>
                <c:pt idx="1">
                  <c:v>8049</c:v>
                </c:pt>
                <c:pt idx="2">
                  <c:v>5556</c:v>
                </c:pt>
                <c:pt idx="3">
                  <c:v>5202</c:v>
                </c:pt>
                <c:pt idx="4">
                  <c:v>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C6-4104-8414-04F65567D8A7}"/>
            </c:ext>
          </c:extLst>
        </c:ser>
        <c:ser>
          <c:idx val="14"/>
          <c:order val="14"/>
          <c:tx>
            <c:strRef>
              <c:f>Sheet2!$A$18</c:f>
              <c:strCache>
                <c:ptCount val="1"/>
                <c:pt idx="0">
                  <c:v>Bar 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Sheet2!$B$18:$F$18</c:f>
              <c:numCache>
                <c:formatCode>General</c:formatCode>
                <c:ptCount val="5"/>
                <c:pt idx="0">
                  <c:v>9058</c:v>
                </c:pt>
                <c:pt idx="1">
                  <c:v>4839</c:v>
                </c:pt>
                <c:pt idx="2">
                  <c:v>4776</c:v>
                </c:pt>
                <c:pt idx="3">
                  <c:v>4024</c:v>
                </c:pt>
                <c:pt idx="4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C6-4104-8414-04F65567D8A7}"/>
            </c:ext>
          </c:extLst>
        </c:ser>
        <c:ser>
          <c:idx val="15"/>
          <c:order val="15"/>
          <c:tx>
            <c:strRef>
              <c:f>Sheet2!$A$19</c:f>
              <c:strCache>
                <c:ptCount val="1"/>
                <c:pt idx="0">
                  <c:v>Bar 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Sheet2!$B$4:$F$4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Sheet2!$B$19:$F$19</c:f>
              <c:numCache>
                <c:formatCode>General</c:formatCode>
                <c:ptCount val="5"/>
                <c:pt idx="0">
                  <c:v>9252</c:v>
                </c:pt>
                <c:pt idx="1">
                  <c:v>8499</c:v>
                </c:pt>
                <c:pt idx="2">
                  <c:v>991</c:v>
                </c:pt>
                <c:pt idx="3">
                  <c:v>448</c:v>
                </c:pt>
                <c:pt idx="4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3C6-4104-8414-04F65567D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254920"/>
        <c:axId val="598254200"/>
      </c:lineChart>
      <c:catAx>
        <c:axId val="598254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54200"/>
        <c:crosses val="autoZero"/>
        <c:auto val="1"/>
        <c:lblAlgn val="ctr"/>
        <c:lblOffset val="100"/>
        <c:noMultiLvlLbl val="0"/>
      </c:catAx>
      <c:valAx>
        <c:axId val="59825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5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335280</xdr:colOff>
      <xdr:row>6</xdr:row>
      <xdr:rowOff>72390</xdr:rowOff>
    </xdr:from>
    <xdr:to>
      <xdr:col>26</xdr:col>
      <xdr:colOff>144780</xdr:colOff>
      <xdr:row>21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1500F4-4453-E253-47AB-C02B35F77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320040</xdr:colOff>
      <xdr:row>6</xdr:row>
      <xdr:rowOff>41910</xdr:rowOff>
    </xdr:from>
    <xdr:to>
      <xdr:col>32</xdr:col>
      <xdr:colOff>175260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097CA4-9502-8B3B-72B4-D6CBF5B40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441960</xdr:colOff>
      <xdr:row>2</xdr:row>
      <xdr:rowOff>57150</xdr:rowOff>
    </xdr:from>
    <xdr:to>
      <xdr:col>16</xdr:col>
      <xdr:colOff>167640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01127-63C8-0C36-1EE0-7149D2D83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3</xdr:row>
      <xdr:rowOff>41910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35C6A-0D16-5669-7859-9A625F783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746760</xdr:colOff>
      <xdr:row>9</xdr:row>
      <xdr:rowOff>133350</xdr:rowOff>
    </xdr:from>
    <xdr:to>
      <xdr:col>6</xdr:col>
      <xdr:colOff>533400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D5785-B54E-ACF9-EC9D-485DF9FEA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8</xdr:row>
      <xdr:rowOff>140970</xdr:rowOff>
    </xdr:from>
    <xdr:to>
      <xdr:col>14</xdr:col>
      <xdr:colOff>388620</xdr:colOff>
      <xdr:row>23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B847CF-5009-3699-BF91-D44757E83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178268</xdr:colOff>
      <xdr:row>23</xdr:row>
      <xdr:rowOff>127933</xdr:rowOff>
    </xdr:from>
    <xdr:to>
      <xdr:col>16</xdr:col>
      <xdr:colOff>835405</xdr:colOff>
      <xdr:row>38</xdr:row>
      <xdr:rowOff>144711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5B97F0-F61F-A450-1600-E365974A4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464820</xdr:colOff>
      <xdr:row>3</xdr:row>
      <xdr:rowOff>34290</xdr:rowOff>
    </xdr:from>
    <xdr:to>
      <xdr:col>16</xdr:col>
      <xdr:colOff>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D15B0-D5CB-4361-1FFB-B16C16BDB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1</xdr:row>
      <xdr:rowOff>125730</xdr:rowOff>
    </xdr:from>
    <xdr:to>
      <xdr:col>16</xdr:col>
      <xdr:colOff>190500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A68B8-CEC4-1E41-6860-D11C7614A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1</xdr:row>
      <xdr:rowOff>179070</xdr:rowOff>
    </xdr:from>
    <xdr:to>
      <xdr:col>15</xdr:col>
      <xdr:colOff>464820</xdr:colOff>
      <xdr:row>20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5FD4DB-7C28-D1A7-BD2D-0AB40C99D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kshi Amma" refreshedDate="46152.550279513889" createdVersion="8" refreshedVersion="8" minRefreshableVersion="3" recordCount="60" xr:uid="{F4E61F9D-5524-4A44-B445-A16E0A497DBA}">
  <cacheSource type="worksheet">
    <worksheetSource ref="A4:F64" sheet="Sheet6"/>
  </cacheSource>
  <cacheFields count="6">
    <cacheField name="Account Type" numFmtId="0">
      <sharedItems count="4">
        <s v="Bar"/>
        <s v="Club"/>
        <s v="Hotel"/>
        <s v="Restaurant"/>
      </sharedItems>
    </cacheField>
    <cacheField name="2017" numFmtId="0">
      <sharedItems containsSemiMixedTypes="0" containsString="0" containsNumber="1" containsInteger="1" minValue="24" maxValue="9791"/>
    </cacheField>
    <cacheField name="2018" numFmtId="0">
      <sharedItems containsSemiMixedTypes="0" containsString="0" containsNumber="1" containsInteger="1" minValue="286" maxValue="9610"/>
    </cacheField>
    <cacheField name="2019" numFmtId="0">
      <sharedItems containsSemiMixedTypes="0" containsString="0" containsNumber="1" containsInteger="1" minValue="747" maxValue="8390"/>
    </cacheField>
    <cacheField name="2020" numFmtId="0">
      <sharedItems containsSemiMixedTypes="0" containsString="0" containsNumber="1" containsInteger="1" minValue="338" maxValue="9024"/>
    </cacheField>
    <cacheField name="2021" numFmtId="0">
      <sharedItems containsSemiMixedTypes="0" containsString="0" containsNumber="1" containsInteger="1" minValue="44" maxValue="9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kshi Amma" refreshedDate="46152.794501157405" createdVersion="8" refreshedVersion="8" minRefreshableVersion="3" recordCount="60" xr:uid="{2E7CBDC2-4F48-4FCA-A7A0-325E8C90C272}">
  <cacheSource type="worksheet">
    <worksheetSource ref="A2:E62" sheet="Sheet11"/>
  </cacheSource>
  <cacheFields count="5">
    <cacheField name="Cooler?" numFmtId="0">
      <sharedItems count="2">
        <s v="Yes"/>
        <s v="No"/>
      </sharedItems>
    </cacheField>
    <cacheField name="Digital screen?" numFmtId="0">
      <sharedItems count="2">
        <s v="Yes"/>
        <s v="No"/>
      </sharedItems>
    </cacheField>
    <cacheField name="Menu inclusion?" numFmtId="0">
      <sharedItems count="2">
        <s v="Yes"/>
        <s v="No"/>
      </sharedItems>
    </cacheField>
    <cacheField name="Posters?" numFmtId="0">
      <sharedItems count="2">
        <s v="Yes"/>
        <s v="No"/>
      </sharedItems>
    </cacheField>
    <cacheField name="total Sales" numFmtId="0">
      <sharedItems containsSemiMixedTypes="0" containsString="0" containsNumber="1" containsInteger="1" minValue="8676" maxValue="394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24"/>
    <n v="1797"/>
    <n v="3548"/>
    <n v="3668"/>
    <n v="8592"/>
  </r>
  <r>
    <x v="0"/>
    <n v="861"/>
    <n v="1314"/>
    <n v="1810"/>
    <n v="6510"/>
    <n v="9271"/>
  </r>
  <r>
    <x v="0"/>
    <n v="906"/>
    <n v="1251"/>
    <n v="2897"/>
    <n v="4499"/>
    <n v="9428"/>
  </r>
  <r>
    <x v="0"/>
    <n v="1209"/>
    <n v="1534"/>
    <n v="1634"/>
    <n v="4302"/>
    <n v="9768"/>
  </r>
  <r>
    <x v="0"/>
    <n v="1581"/>
    <n v="4799"/>
    <n v="6582"/>
    <n v="9024"/>
    <n v="9759"/>
  </r>
  <r>
    <x v="0"/>
    <n v="1982"/>
    <n v="5388"/>
    <n v="7063"/>
    <n v="7208"/>
    <n v="9093"/>
  </r>
  <r>
    <x v="0"/>
    <n v="1421"/>
    <n v="1893"/>
    <n v="2722"/>
    <n v="4410"/>
    <n v="5873"/>
  </r>
  <r>
    <x v="0"/>
    <n v="1530"/>
    <n v="1620"/>
    <n v="2027"/>
    <n v="4881"/>
    <n v="6002"/>
  </r>
  <r>
    <x v="0"/>
    <n v="2341"/>
    <n v="6105"/>
    <n v="7777"/>
    <n v="7891"/>
    <n v="8758"/>
  </r>
  <r>
    <x v="0"/>
    <n v="1532"/>
    <n v="2678"/>
    <n v="4068"/>
    <n v="4278"/>
    <n v="5382"/>
  </r>
  <r>
    <x v="0"/>
    <n v="2786"/>
    <n v="3804"/>
    <n v="4121"/>
    <n v="6210"/>
    <n v="6909"/>
  </r>
  <r>
    <x v="0"/>
    <n v="7555"/>
    <n v="6551"/>
    <n v="5188"/>
    <n v="3436"/>
    <n v="2359"/>
  </r>
  <r>
    <x v="0"/>
    <n v="9766"/>
    <n v="8049"/>
    <n v="5556"/>
    <n v="5202"/>
    <n v="2373"/>
  </r>
  <r>
    <x v="0"/>
    <n v="9058"/>
    <n v="4839"/>
    <n v="4776"/>
    <n v="4024"/>
    <n v="369"/>
  </r>
  <r>
    <x v="0"/>
    <n v="9252"/>
    <n v="8499"/>
    <n v="991"/>
    <n v="448"/>
    <n v="211"/>
  </r>
  <r>
    <x v="1"/>
    <n v="138"/>
    <n v="286"/>
    <n v="6750"/>
    <n v="8254"/>
    <n v="8656"/>
  </r>
  <r>
    <x v="1"/>
    <n v="376"/>
    <n v="889"/>
    <n v="4373"/>
    <n v="6803"/>
    <n v="7578"/>
  </r>
  <r>
    <x v="1"/>
    <n v="431"/>
    <n v="6231"/>
    <n v="7478"/>
    <n v="8039"/>
    <n v="8271"/>
  </r>
  <r>
    <x v="1"/>
    <n v="488"/>
    <n v="5535"/>
    <n v="5775"/>
    <n v="7661"/>
    <n v="9206"/>
  </r>
  <r>
    <x v="1"/>
    <n v="742"/>
    <n v="3751"/>
    <n v="4423"/>
    <n v="8733"/>
    <n v="9909"/>
  </r>
  <r>
    <x v="1"/>
    <n v="1038"/>
    <n v="3615"/>
    <n v="3712"/>
    <n v="5819"/>
    <n v="9589"/>
  </r>
  <r>
    <x v="1"/>
    <n v="1092"/>
    <n v="3140"/>
    <n v="4123"/>
    <n v="4366"/>
    <n v="9482"/>
  </r>
  <r>
    <x v="1"/>
    <n v="1290"/>
    <n v="4033"/>
    <n v="6956"/>
    <n v="7929"/>
    <n v="8834"/>
  </r>
  <r>
    <x v="1"/>
    <n v="2541"/>
    <n v="3794"/>
    <n v="3984"/>
    <n v="8803"/>
    <n v="9338"/>
  </r>
  <r>
    <x v="1"/>
    <n v="2519"/>
    <n v="3938"/>
    <n v="5190"/>
    <n v="8203"/>
    <n v="8780"/>
  </r>
  <r>
    <x v="1"/>
    <n v="3297"/>
    <n v="4866"/>
    <n v="4928"/>
    <n v="8451"/>
    <n v="9585"/>
  </r>
  <r>
    <x v="1"/>
    <n v="8873"/>
    <n v="8484"/>
    <n v="7883"/>
    <n v="7499"/>
    <n v="6592"/>
  </r>
  <r>
    <x v="1"/>
    <n v="8891"/>
    <n v="5952"/>
    <n v="5914"/>
    <n v="5405"/>
    <n v="4031"/>
  </r>
  <r>
    <x v="1"/>
    <n v="7703"/>
    <n v="6957"/>
    <n v="3898"/>
    <n v="1857"/>
    <n v="1512"/>
  </r>
  <r>
    <x v="1"/>
    <n v="7840"/>
    <n v="5804"/>
    <n v="4259"/>
    <n v="4243"/>
    <n v="907"/>
  </r>
  <r>
    <x v="2"/>
    <n v="128"/>
    <n v="416"/>
    <n v="747"/>
    <n v="1028"/>
    <n v="6357"/>
  </r>
  <r>
    <x v="2"/>
    <n v="299"/>
    <n v="657"/>
    <n v="6238"/>
    <n v="8922"/>
    <n v="9081"/>
  </r>
  <r>
    <x v="2"/>
    <n v="870"/>
    <n v="2428"/>
    <n v="7386"/>
    <n v="8835"/>
    <n v="9766"/>
  </r>
  <r>
    <x v="2"/>
    <n v="576"/>
    <n v="2628"/>
    <n v="3612"/>
    <n v="5066"/>
    <n v="5156"/>
  </r>
  <r>
    <x v="2"/>
    <n v="1082"/>
    <n v="3353"/>
    <n v="6351"/>
    <n v="8550"/>
    <n v="9272"/>
  </r>
  <r>
    <x v="2"/>
    <n v="1263"/>
    <n v="2517"/>
    <n v="8042"/>
    <n v="8222"/>
    <n v="9686"/>
  </r>
  <r>
    <x v="2"/>
    <n v="1014"/>
    <n v="2254"/>
    <n v="4534"/>
    <n v="6796"/>
    <n v="7730"/>
  </r>
  <r>
    <x v="2"/>
    <n v="1357"/>
    <n v="4189"/>
    <n v="5407"/>
    <n v="6233"/>
    <n v="9681"/>
  </r>
  <r>
    <x v="2"/>
    <n v="1497"/>
    <n v="1768"/>
    <n v="2804"/>
    <n v="5718"/>
    <n v="9822"/>
  </r>
  <r>
    <x v="2"/>
    <n v="1032"/>
    <n v="3919"/>
    <n v="4466"/>
    <n v="5568"/>
    <n v="6476"/>
  </r>
  <r>
    <x v="2"/>
    <n v="1323"/>
    <n v="4963"/>
    <n v="6292"/>
    <n v="6728"/>
    <n v="8202"/>
  </r>
  <r>
    <x v="2"/>
    <n v="9791"/>
    <n v="9610"/>
    <n v="7534"/>
    <n v="5080"/>
    <n v="4936"/>
  </r>
  <r>
    <x v="2"/>
    <n v="8034"/>
    <n v="6541"/>
    <n v="3311"/>
    <n v="3254"/>
    <n v="2687"/>
  </r>
  <r>
    <x v="2"/>
    <n v="8466"/>
    <n v="4079"/>
    <n v="2797"/>
    <n v="2245"/>
    <n v="1696"/>
  </r>
  <r>
    <x v="2"/>
    <n v="8156"/>
    <n v="1245"/>
    <n v="791"/>
    <n v="338"/>
    <n v="44"/>
  </r>
  <r>
    <x v="3"/>
    <n v="73"/>
    <n v="3485"/>
    <n v="4592"/>
    <n v="5143"/>
    <n v="8100"/>
  </r>
  <r>
    <x v="3"/>
    <n v="209"/>
    <n v="621"/>
    <n v="3098"/>
    <n v="7118"/>
    <n v="8433"/>
  </r>
  <r>
    <x v="3"/>
    <n v="238"/>
    <n v="1235"/>
    <n v="1822"/>
    <n v="7074"/>
    <n v="8207"/>
  </r>
  <r>
    <x v="3"/>
    <n v="570"/>
    <n v="1322"/>
    <n v="7279"/>
    <n v="8443"/>
    <n v="9571"/>
  </r>
  <r>
    <x v="3"/>
    <n v="700"/>
    <n v="5721"/>
    <n v="6247"/>
    <n v="8495"/>
    <n v="9236"/>
  </r>
  <r>
    <x v="3"/>
    <n v="712"/>
    <n v="4182"/>
    <n v="6087"/>
    <n v="7494"/>
    <n v="8599"/>
  </r>
  <r>
    <x v="3"/>
    <n v="1368"/>
    <n v="3447"/>
    <n v="4535"/>
    <n v="5476"/>
    <n v="9983"/>
  </r>
  <r>
    <x v="3"/>
    <n v="1779"/>
    <n v="2124"/>
    <n v="2844"/>
    <n v="6877"/>
    <n v="9570"/>
  </r>
  <r>
    <x v="3"/>
    <n v="3501"/>
    <n v="7079"/>
    <n v="7438"/>
    <n v="7443"/>
    <n v="9225"/>
  </r>
  <r>
    <x v="3"/>
    <n v="2390"/>
    <n v="2415"/>
    <n v="3461"/>
    <n v="3850"/>
    <n v="4657"/>
  </r>
  <r>
    <x v="3"/>
    <n v="3916"/>
    <n v="4218"/>
    <n v="5072"/>
    <n v="5201"/>
    <n v="7588"/>
  </r>
  <r>
    <x v="3"/>
    <n v="6309"/>
    <n v="6227"/>
    <n v="5123"/>
    <n v="4968"/>
    <n v="3857"/>
  </r>
  <r>
    <x v="3"/>
    <n v="9773"/>
    <n v="9179"/>
    <n v="8390"/>
    <n v="8256"/>
    <n v="3815"/>
  </r>
  <r>
    <x v="3"/>
    <n v="6156"/>
    <n v="6110"/>
    <n v="5791"/>
    <n v="1759"/>
    <n v="969"/>
  </r>
  <r>
    <x v="3"/>
    <n v="8331"/>
    <n v="7667"/>
    <n v="5952"/>
    <n v="1998"/>
    <n v="3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n v="17629"/>
  </r>
  <r>
    <x v="0"/>
    <x v="0"/>
    <x v="0"/>
    <x v="0"/>
    <n v="19766"/>
  </r>
  <r>
    <x v="0"/>
    <x v="0"/>
    <x v="0"/>
    <x v="0"/>
    <n v="18981"/>
  </r>
  <r>
    <x v="0"/>
    <x v="0"/>
    <x v="0"/>
    <x v="0"/>
    <n v="18447"/>
  </r>
  <r>
    <x v="0"/>
    <x v="1"/>
    <x v="0"/>
    <x v="1"/>
    <n v="31745"/>
  </r>
  <r>
    <x v="0"/>
    <x v="0"/>
    <x v="0"/>
    <x v="0"/>
    <n v="30734"/>
  </r>
  <r>
    <x v="0"/>
    <x v="0"/>
    <x v="0"/>
    <x v="0"/>
    <n v="16319"/>
  </r>
  <r>
    <x v="0"/>
    <x v="1"/>
    <x v="0"/>
    <x v="1"/>
    <n v="16060"/>
  </r>
  <r>
    <x v="1"/>
    <x v="0"/>
    <x v="0"/>
    <x v="1"/>
    <n v="32872"/>
  </r>
  <r>
    <x v="1"/>
    <x v="1"/>
    <x v="1"/>
    <x v="1"/>
    <n v="17938"/>
  </r>
  <r>
    <x v="1"/>
    <x v="0"/>
    <x v="0"/>
    <x v="0"/>
    <n v="23830"/>
  </r>
  <r>
    <x v="1"/>
    <x v="1"/>
    <x v="1"/>
    <x v="1"/>
    <n v="25089"/>
  </r>
  <r>
    <x v="1"/>
    <x v="1"/>
    <x v="0"/>
    <x v="1"/>
    <n v="30946"/>
  </r>
  <r>
    <x v="1"/>
    <x v="1"/>
    <x v="1"/>
    <x v="1"/>
    <n v="23066"/>
  </r>
  <r>
    <x v="1"/>
    <x v="1"/>
    <x v="0"/>
    <x v="1"/>
    <n v="19401"/>
  </r>
  <r>
    <x v="0"/>
    <x v="0"/>
    <x v="0"/>
    <x v="1"/>
    <n v="24084"/>
  </r>
  <r>
    <x v="0"/>
    <x v="0"/>
    <x v="0"/>
    <x v="0"/>
    <n v="20019"/>
  </r>
  <r>
    <x v="0"/>
    <x v="0"/>
    <x v="1"/>
    <x v="1"/>
    <n v="30450"/>
  </r>
  <r>
    <x v="0"/>
    <x v="0"/>
    <x v="0"/>
    <x v="0"/>
    <n v="28665"/>
  </r>
  <r>
    <x v="0"/>
    <x v="0"/>
    <x v="0"/>
    <x v="0"/>
    <n v="27558"/>
  </r>
  <r>
    <x v="0"/>
    <x v="0"/>
    <x v="0"/>
    <x v="0"/>
    <n v="23773"/>
  </r>
  <r>
    <x v="0"/>
    <x v="0"/>
    <x v="0"/>
    <x v="0"/>
    <n v="22203"/>
  </r>
  <r>
    <x v="0"/>
    <x v="1"/>
    <x v="1"/>
    <x v="1"/>
    <n v="29042"/>
  </r>
  <r>
    <x v="1"/>
    <x v="1"/>
    <x v="0"/>
    <x v="0"/>
    <n v="28460"/>
  </r>
  <r>
    <x v="1"/>
    <x v="1"/>
    <x v="0"/>
    <x v="1"/>
    <n v="28630"/>
  </r>
  <r>
    <x v="1"/>
    <x v="1"/>
    <x v="0"/>
    <x v="0"/>
    <n v="31127"/>
  </r>
  <r>
    <x v="1"/>
    <x v="1"/>
    <x v="0"/>
    <x v="0"/>
    <n v="39331"/>
  </r>
  <r>
    <x v="1"/>
    <x v="1"/>
    <x v="1"/>
    <x v="1"/>
    <n v="30193"/>
  </r>
  <r>
    <x v="1"/>
    <x v="1"/>
    <x v="0"/>
    <x v="0"/>
    <n v="21927"/>
  </r>
  <r>
    <x v="1"/>
    <x v="1"/>
    <x v="0"/>
    <x v="0"/>
    <n v="23053"/>
  </r>
  <r>
    <x v="0"/>
    <x v="1"/>
    <x v="1"/>
    <x v="1"/>
    <n v="8676"/>
  </r>
  <r>
    <x v="0"/>
    <x v="1"/>
    <x v="0"/>
    <x v="1"/>
    <n v="25197"/>
  </r>
  <r>
    <x v="1"/>
    <x v="1"/>
    <x v="0"/>
    <x v="1"/>
    <n v="29285"/>
  </r>
  <r>
    <x v="1"/>
    <x v="1"/>
    <x v="0"/>
    <x v="1"/>
    <n v="17038"/>
  </r>
  <r>
    <x v="1"/>
    <x v="1"/>
    <x v="0"/>
    <x v="1"/>
    <n v="28608"/>
  </r>
  <r>
    <x v="1"/>
    <x v="1"/>
    <x v="1"/>
    <x v="1"/>
    <n v="29730"/>
  </r>
  <r>
    <x v="1"/>
    <x v="1"/>
    <x v="1"/>
    <x v="1"/>
    <n v="22328"/>
  </r>
  <r>
    <x v="1"/>
    <x v="1"/>
    <x v="0"/>
    <x v="1"/>
    <n v="26867"/>
  </r>
  <r>
    <x v="1"/>
    <x v="1"/>
    <x v="0"/>
    <x v="1"/>
    <n v="21609"/>
  </r>
  <r>
    <x v="1"/>
    <x v="1"/>
    <x v="1"/>
    <x v="1"/>
    <n v="21461"/>
  </r>
  <r>
    <x v="1"/>
    <x v="1"/>
    <x v="0"/>
    <x v="1"/>
    <n v="27508"/>
  </r>
  <r>
    <x v="1"/>
    <x v="1"/>
    <x v="0"/>
    <x v="1"/>
    <n v="36951"/>
  </r>
  <r>
    <x v="1"/>
    <x v="1"/>
    <x v="1"/>
    <x v="1"/>
    <n v="23827"/>
  </r>
  <r>
    <x v="1"/>
    <x v="1"/>
    <x v="0"/>
    <x v="1"/>
    <n v="19283"/>
  </r>
  <r>
    <x v="1"/>
    <x v="1"/>
    <x v="0"/>
    <x v="1"/>
    <n v="10574"/>
  </r>
  <r>
    <x v="0"/>
    <x v="1"/>
    <x v="0"/>
    <x v="1"/>
    <n v="21393"/>
  </r>
  <r>
    <x v="0"/>
    <x v="0"/>
    <x v="0"/>
    <x v="1"/>
    <n v="19479"/>
  </r>
  <r>
    <x v="0"/>
    <x v="1"/>
    <x v="0"/>
    <x v="1"/>
    <n v="18576"/>
  </r>
  <r>
    <x v="0"/>
    <x v="0"/>
    <x v="0"/>
    <x v="1"/>
    <n v="27185"/>
  </r>
  <r>
    <x v="0"/>
    <x v="1"/>
    <x v="0"/>
    <x v="1"/>
    <n v="30399"/>
  </r>
  <r>
    <x v="0"/>
    <x v="1"/>
    <x v="0"/>
    <x v="1"/>
    <n v="27074"/>
  </r>
  <r>
    <x v="0"/>
    <x v="1"/>
    <x v="0"/>
    <x v="1"/>
    <n v="24809"/>
  </r>
  <r>
    <x v="0"/>
    <x v="0"/>
    <x v="0"/>
    <x v="1"/>
    <n v="23194"/>
  </r>
  <r>
    <x v="1"/>
    <x v="1"/>
    <x v="1"/>
    <x v="1"/>
    <n v="34686"/>
  </r>
  <r>
    <x v="1"/>
    <x v="1"/>
    <x v="1"/>
    <x v="1"/>
    <n v="16773"/>
  </r>
  <r>
    <x v="1"/>
    <x v="1"/>
    <x v="1"/>
    <x v="1"/>
    <n v="25995"/>
  </r>
  <r>
    <x v="1"/>
    <x v="1"/>
    <x v="1"/>
    <x v="1"/>
    <n v="26484"/>
  </r>
  <r>
    <x v="1"/>
    <x v="1"/>
    <x v="1"/>
    <x v="1"/>
    <n v="39413"/>
  </r>
  <r>
    <x v="1"/>
    <x v="0"/>
    <x v="1"/>
    <x v="1"/>
    <n v="20785"/>
  </r>
  <r>
    <x v="1"/>
    <x v="0"/>
    <x v="1"/>
    <x v="1"/>
    <n v="243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4E8E5-B7E6-41B0-990F-2E40AD33F694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2:H28" firstHeaderRow="1" firstDataRow="1" firstDataCol="1"/>
  <pivotFields count="5"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</pivotFields>
  <rowFields count="4">
    <field x="2"/>
    <field x="0"/>
    <field x="1"/>
    <field x="3"/>
  </rowFields>
  <rowItems count="26">
    <i>
      <x/>
    </i>
    <i r="1">
      <x/>
    </i>
    <i r="2">
      <x/>
    </i>
    <i r="3">
      <x/>
    </i>
    <i r="2">
      <x v="1"/>
    </i>
    <i r="3">
      <x/>
    </i>
    <i r="1">
      <x v="1"/>
    </i>
    <i r="2">
      <x/>
    </i>
    <i r="3">
      <x/>
    </i>
    <i r="2">
      <x v="1"/>
    </i>
    <i r="3">
      <x/>
    </i>
    <i>
      <x v="1"/>
    </i>
    <i r="1">
      <x/>
    </i>
    <i r="2">
      <x/>
    </i>
    <i r="3">
      <x/>
    </i>
    <i r="3">
      <x v="1"/>
    </i>
    <i r="2">
      <x v="1"/>
    </i>
    <i r="3">
      <x/>
    </i>
    <i r="3">
      <x v="1"/>
    </i>
    <i r="1">
      <x v="1"/>
    </i>
    <i r="2">
      <x/>
    </i>
    <i r="3">
      <x/>
    </i>
    <i r="2">
      <x v="1"/>
    </i>
    <i r="3">
      <x/>
    </i>
    <i r="3">
      <x v="1"/>
    </i>
    <i t="grand">
      <x/>
    </i>
  </rowItems>
  <colItems count="1">
    <i/>
  </colItems>
  <dataFields count="1">
    <dataField name="Sum of total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5D728-8490-4207-8DCB-BF7087996F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 rowHeaderCaption="Account Type">
  <location ref="A3:F8" firstHeaderRow="0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17" fld="1" baseField="0" baseItem="0"/>
    <dataField name="Sum of 2018" fld="2" baseField="0" baseItem="0"/>
    <dataField name="Sum of 2019" fld="3" baseField="0" baseItem="0"/>
    <dataField name="Sum of 2020" fld="4" baseField="0" baseItem="0"/>
    <dataField name="Sum of 2021" fld="5" baseField="0" baseItem="0"/>
  </dataFields>
  <chartFormats count="10">
    <chartFormat chart="4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587B0-D1FF-4B58-AB1C-91043AAABA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Account Type">
  <location ref="L17:P18" firstHeaderRow="0" firstDataRow="1" firstDataCol="0"/>
  <pivotFields count="6">
    <pivotField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2017" fld="1" baseField="0" baseItem="0"/>
    <dataField name=" 2018" fld="2" baseField="0" baseItem="0"/>
    <dataField name=" 2019" fld="3" baseField="0" baseItem="0"/>
    <dataField name=" 2020" fld="4" baseField="0" baseItem="0"/>
    <dataField name=" 2021" fld="5" baseField="0" baseItem="0"/>
  </dataFields>
  <chartFormats count="10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E37EE9-E7D8-48D0-8D84-B47D291851B7}" name="Table4" displayName="Table4" ref="N4:Q6" totalsRowShown="0">
  <tableColumns count="4">
    <tableColumn id="1" xr3:uid="{7D0EB5E1-4AD1-4393-A161-40EBD1AFFF29}" name="Bar">
      <calculatedColumnFormula>INDEX($G:$G,5+(COLUMN(A1)-1)*15+ROW(A1)-1)</calculatedColumnFormula>
    </tableColumn>
    <tableColumn id="2" xr3:uid="{8E532899-8C19-4A6A-83E6-4519B4BFA758}" name="Club">
      <calculatedColumnFormula>INDEX($G:$G,5+(COLUMN(B1)-1)*15+ROW(B1)-1)</calculatedColumnFormula>
    </tableColumn>
    <tableColumn id="3" xr3:uid="{C76BD714-FDDA-498D-8756-FF1EDDAF0CDF}" name="Hotel">
      <calculatedColumnFormula>INDEX($G:$G,5+(COLUMN(C1)-1)*15+ROW(C1)-1)</calculatedColumnFormula>
    </tableColumn>
    <tableColumn id="4" xr3:uid="{069D391D-6547-4D91-B05B-D2A0B7A4FF71}" name="Restaurant">
      <calculatedColumnFormula>INDEX($G:$G,5+(COLUMN(D1)-1)*15+ROW(D1)-1)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FF4338-E5F3-49F1-844E-1E6B8AF7F3A7}" name="Table5" displayName="Table5" ref="N9:Q11" totalsRowShown="0">
  <tableColumns count="4">
    <tableColumn id="1" xr3:uid="{50866717-2FC2-440C-A858-CD32743F2DBB}" name="Bar">
      <calculatedColumnFormula>INDEX($G:$G,18+(COLUMN(A1)-1)*15+ROW(A1)-1)</calculatedColumnFormula>
    </tableColumn>
    <tableColumn id="2" xr3:uid="{9E5F02C4-34D4-49F9-8773-4DBB6FB74AC5}" name="Club">
      <calculatedColumnFormula>INDEX($G:$G,18+(COLUMN(B1)-1)*15+ROW(B1)-1)</calculatedColumnFormula>
    </tableColumn>
    <tableColumn id="3" xr3:uid="{60E323C4-E0A1-47BD-ACEC-1B5EF1E76BD1}" name="Hotel">
      <calculatedColumnFormula>INDEX($G:$G,18+(COLUMN(C1)-1)*15+ROW(C1)-1)</calculatedColumnFormula>
    </tableColumn>
    <tableColumn id="4" xr3:uid="{C9019CC6-D6F0-43EA-A04C-5FE40BB9137C}" name="Restaurant">
      <calculatedColumnFormula>INDEX($G:$G,18+(COLUMN(D1)-1)*15+ROW(D1)-1)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086C-A415-4735-B36A-95FDECF3BB02}">
  <dimension ref="A1:AH64"/>
  <sheetViews>
    <sheetView topLeftCell="H1" workbookViewId="0">
      <selection activeCell="I3" sqref="I3:L64"/>
    </sheetView>
  </sheetViews>
  <sheetFormatPr defaultRowHeight="14.4" x14ac:dyDescent="0.3"/>
  <cols>
    <col min="1" max="1" width="16.6640625" customWidth="1"/>
    <col min="2" max="2" width="41.109375" customWidth="1"/>
    <col min="3" max="4" width="21.109375" customWidth="1"/>
    <col min="5" max="5" width="14" customWidth="1"/>
    <col min="6" max="6" width="10" customWidth="1"/>
    <col min="7" max="7" width="11.44140625" customWidth="1"/>
    <col min="8" max="8" width="14.44140625" customWidth="1"/>
    <col min="10" max="10" width="14.88671875" customWidth="1"/>
    <col min="11" max="11" width="16.88671875" customWidth="1"/>
    <col min="19" max="19" width="14.6640625" customWidth="1"/>
    <col min="20" max="20" width="10.21875" customWidth="1"/>
  </cols>
  <sheetData>
    <row r="1" spans="1:34" ht="18" x14ac:dyDescent="0.35">
      <c r="A1" s="2" t="s">
        <v>140</v>
      </c>
      <c r="AH1" t="s">
        <v>280</v>
      </c>
    </row>
    <row r="2" spans="1:34" x14ac:dyDescent="0.3">
      <c r="AH2">
        <v>17629</v>
      </c>
    </row>
    <row r="3" spans="1:34" x14ac:dyDescent="0.3">
      <c r="A3" s="1"/>
      <c r="B3" s="1"/>
      <c r="C3" s="1"/>
      <c r="D3" s="1"/>
      <c r="E3" s="1"/>
      <c r="F3" s="10" t="s">
        <v>258</v>
      </c>
      <c r="G3" s="11"/>
      <c r="H3" s="11"/>
      <c r="I3" s="6" t="s">
        <v>4</v>
      </c>
      <c r="J3" s="7"/>
      <c r="K3" s="7"/>
      <c r="L3" s="7"/>
      <c r="M3" s="8" t="s">
        <v>257</v>
      </c>
      <c r="N3" s="9"/>
      <c r="O3" s="9"/>
      <c r="P3" s="9"/>
      <c r="Q3" s="9"/>
      <c r="U3" s="14" t="s">
        <v>259</v>
      </c>
      <c r="V3" s="14"/>
      <c r="W3" s="14" t="s">
        <v>260</v>
      </c>
      <c r="X3" s="14"/>
      <c r="AH3">
        <v>19766</v>
      </c>
    </row>
    <row r="4" spans="1:34" x14ac:dyDescent="0.3">
      <c r="A4" s="1" t="s">
        <v>0</v>
      </c>
      <c r="B4" s="1" t="s">
        <v>1</v>
      </c>
      <c r="C4" s="1" t="s">
        <v>2</v>
      </c>
      <c r="D4" s="1" t="s">
        <v>139</v>
      </c>
      <c r="E4" s="1" t="s">
        <v>3</v>
      </c>
      <c r="F4" s="1" t="s">
        <v>261</v>
      </c>
      <c r="G4" s="1" t="s">
        <v>259</v>
      </c>
      <c r="H4" s="1" t="s">
        <v>260</v>
      </c>
      <c r="I4" s="1" t="s">
        <v>5</v>
      </c>
      <c r="J4" s="1" t="s">
        <v>6</v>
      </c>
      <c r="K4" s="1" t="s">
        <v>7</v>
      </c>
      <c r="L4" s="1" t="s">
        <v>8</v>
      </c>
      <c r="M4" s="1">
        <v>2017</v>
      </c>
      <c r="N4" s="1">
        <v>2018</v>
      </c>
      <c r="O4" s="1">
        <v>2019</v>
      </c>
      <c r="P4" s="1">
        <v>2020</v>
      </c>
      <c r="Q4" s="1">
        <v>2021</v>
      </c>
      <c r="R4" s="1" t="s">
        <v>262</v>
      </c>
      <c r="S4" s="1" t="s">
        <v>0</v>
      </c>
      <c r="T4" s="1" t="s">
        <v>280</v>
      </c>
      <c r="U4" s="1" t="s">
        <v>255</v>
      </c>
      <c r="V4" s="1" t="s">
        <v>281</v>
      </c>
      <c r="W4" s="1" t="s">
        <v>255</v>
      </c>
      <c r="X4" s="1" t="s">
        <v>256</v>
      </c>
      <c r="AH4">
        <v>18981</v>
      </c>
    </row>
    <row r="5" spans="1:34" x14ac:dyDescent="0.3">
      <c r="A5" t="s">
        <v>21</v>
      </c>
      <c r="B5" t="s">
        <v>143</v>
      </c>
      <c r="C5" t="s">
        <v>81</v>
      </c>
      <c r="D5" t="s">
        <v>203</v>
      </c>
      <c r="E5" t="s">
        <v>251</v>
      </c>
      <c r="F5" t="s">
        <v>255</v>
      </c>
      <c r="G5" t="s">
        <v>255</v>
      </c>
      <c r="H5" t="s">
        <v>255</v>
      </c>
      <c r="I5" t="s">
        <v>255</v>
      </c>
      <c r="J5" t="s">
        <v>255</v>
      </c>
      <c r="K5" t="s">
        <v>255</v>
      </c>
      <c r="L5" t="s">
        <v>255</v>
      </c>
      <c r="M5">
        <v>24</v>
      </c>
      <c r="N5">
        <v>1797</v>
      </c>
      <c r="O5">
        <v>3548</v>
      </c>
      <c r="P5">
        <v>3668</v>
      </c>
      <c r="Q5">
        <v>8592</v>
      </c>
      <c r="R5" s="3">
        <v>2.2417282473900286</v>
      </c>
      <c r="S5" t="s">
        <v>21</v>
      </c>
      <c r="T5">
        <f>SUM(M5:Q5)</f>
        <v>17629</v>
      </c>
      <c r="U5">
        <f>SUMIF(G:G,"Yes",T:T)</f>
        <v>1226664</v>
      </c>
      <c r="V5">
        <f>SUMIF(G:G,"No",T:T)</f>
        <v>254184</v>
      </c>
      <c r="W5">
        <f>SUMIF(H:H,"Yes",T:T)</f>
        <v>768615</v>
      </c>
      <c r="X5">
        <f>SUMIF(H:H,"No",T:T)</f>
        <v>712233</v>
      </c>
      <c r="AH5">
        <v>18447</v>
      </c>
    </row>
    <row r="6" spans="1:34" x14ac:dyDescent="0.3">
      <c r="A6" t="s">
        <v>22</v>
      </c>
      <c r="B6" t="s">
        <v>144</v>
      </c>
      <c r="C6" t="s">
        <v>82</v>
      </c>
      <c r="D6" t="s">
        <v>204</v>
      </c>
      <c r="E6" t="s">
        <v>251</v>
      </c>
      <c r="F6" t="s">
        <v>255</v>
      </c>
      <c r="G6" t="s">
        <v>255</v>
      </c>
      <c r="H6" t="s">
        <v>255</v>
      </c>
      <c r="I6" t="s">
        <v>255</v>
      </c>
      <c r="J6" t="s">
        <v>255</v>
      </c>
      <c r="K6" t="s">
        <v>255</v>
      </c>
      <c r="L6" t="s">
        <v>255</v>
      </c>
      <c r="M6">
        <v>861</v>
      </c>
      <c r="N6">
        <v>1314</v>
      </c>
      <c r="O6">
        <v>1810</v>
      </c>
      <c r="P6">
        <v>6510</v>
      </c>
      <c r="Q6">
        <v>9271</v>
      </c>
      <c r="R6" s="3">
        <v>0.60851341002213011</v>
      </c>
      <c r="S6" t="s">
        <v>22</v>
      </c>
      <c r="T6">
        <f t="shared" ref="T6:T64" si="0">SUM(M6:Q6)</f>
        <v>19766</v>
      </c>
      <c r="AH6">
        <v>31745</v>
      </c>
    </row>
    <row r="7" spans="1:34" x14ac:dyDescent="0.3">
      <c r="A7" t="s">
        <v>12</v>
      </c>
      <c r="B7" t="s">
        <v>132</v>
      </c>
      <c r="C7" t="s">
        <v>72</v>
      </c>
      <c r="D7" t="s">
        <v>194</v>
      </c>
      <c r="E7" t="s">
        <v>251</v>
      </c>
      <c r="F7" t="s">
        <v>255</v>
      </c>
      <c r="G7" t="s">
        <v>255</v>
      </c>
      <c r="H7" t="s">
        <v>255</v>
      </c>
      <c r="I7" t="s">
        <v>255</v>
      </c>
      <c r="J7" t="s">
        <v>255</v>
      </c>
      <c r="K7" t="s">
        <v>255</v>
      </c>
      <c r="L7" t="s">
        <v>255</v>
      </c>
      <c r="M7">
        <v>906</v>
      </c>
      <c r="N7">
        <v>1251</v>
      </c>
      <c r="O7">
        <v>2897</v>
      </c>
      <c r="P7">
        <v>4499</v>
      </c>
      <c r="Q7">
        <v>9428</v>
      </c>
      <c r="R7" s="3">
        <v>0.59756403600546837</v>
      </c>
      <c r="S7" t="s">
        <v>12</v>
      </c>
      <c r="T7">
        <f t="shared" si="0"/>
        <v>18981</v>
      </c>
      <c r="AH7">
        <v>30734</v>
      </c>
    </row>
    <row r="8" spans="1:34" x14ac:dyDescent="0.3">
      <c r="A8" t="s">
        <v>11</v>
      </c>
      <c r="B8" t="s">
        <v>131</v>
      </c>
      <c r="C8" t="s">
        <v>71</v>
      </c>
      <c r="D8" t="s">
        <v>193</v>
      </c>
      <c r="E8" t="s">
        <v>251</v>
      </c>
      <c r="F8" t="s">
        <v>255</v>
      </c>
      <c r="G8" t="s">
        <v>255</v>
      </c>
      <c r="H8" t="s">
        <v>255</v>
      </c>
      <c r="I8" t="s">
        <v>255</v>
      </c>
      <c r="J8" t="s">
        <v>255</v>
      </c>
      <c r="K8" t="s">
        <v>255</v>
      </c>
      <c r="L8" t="s">
        <v>255</v>
      </c>
      <c r="M8">
        <v>1209</v>
      </c>
      <c r="N8">
        <v>1534</v>
      </c>
      <c r="O8">
        <v>1634</v>
      </c>
      <c r="P8">
        <v>4302</v>
      </c>
      <c r="Q8">
        <v>9768</v>
      </c>
      <c r="R8" s="3">
        <v>0.51871355792226703</v>
      </c>
      <c r="S8" t="s">
        <v>11</v>
      </c>
      <c r="T8">
        <f t="shared" si="0"/>
        <v>18447</v>
      </c>
      <c r="AH8">
        <v>16319</v>
      </c>
    </row>
    <row r="9" spans="1:34" x14ac:dyDescent="0.3">
      <c r="A9" t="s">
        <v>16</v>
      </c>
      <c r="B9" t="s">
        <v>137</v>
      </c>
      <c r="C9" t="s">
        <v>76</v>
      </c>
      <c r="D9" t="s">
        <v>198</v>
      </c>
      <c r="E9" t="s">
        <v>251</v>
      </c>
      <c r="F9" t="s">
        <v>255</v>
      </c>
      <c r="G9" t="s">
        <v>255</v>
      </c>
      <c r="H9" t="s">
        <v>255</v>
      </c>
      <c r="I9" t="s">
        <v>255</v>
      </c>
      <c r="J9" t="s">
        <v>256</v>
      </c>
      <c r="K9" t="s">
        <v>255</v>
      </c>
      <c r="L9" t="s">
        <v>256</v>
      </c>
      <c r="M9">
        <v>1581</v>
      </c>
      <c r="N9">
        <v>4799</v>
      </c>
      <c r="O9">
        <v>6582</v>
      </c>
      <c r="P9">
        <v>9024</v>
      </c>
      <c r="Q9">
        <v>9759</v>
      </c>
      <c r="R9" s="3">
        <v>0.43911231499610492</v>
      </c>
      <c r="S9" t="s">
        <v>16</v>
      </c>
      <c r="T9">
        <f t="shared" si="0"/>
        <v>31745</v>
      </c>
      <c r="AH9">
        <v>16060</v>
      </c>
    </row>
    <row r="10" spans="1:34" x14ac:dyDescent="0.3">
      <c r="A10" t="s">
        <v>9</v>
      </c>
      <c r="B10" t="s">
        <v>129</v>
      </c>
      <c r="C10" t="s">
        <v>69</v>
      </c>
      <c r="D10" t="s">
        <v>191</v>
      </c>
      <c r="E10" t="s">
        <v>251</v>
      </c>
      <c r="F10" t="s">
        <v>255</v>
      </c>
      <c r="G10" t="s">
        <v>255</v>
      </c>
      <c r="H10" t="s">
        <v>255</v>
      </c>
      <c r="I10" t="s">
        <v>255</v>
      </c>
      <c r="J10" t="s">
        <v>255</v>
      </c>
      <c r="K10" t="s">
        <v>255</v>
      </c>
      <c r="L10" t="s">
        <v>255</v>
      </c>
      <c r="M10">
        <v>1982</v>
      </c>
      <c r="N10">
        <v>5388</v>
      </c>
      <c r="O10">
        <v>7063</v>
      </c>
      <c r="P10">
        <v>7208</v>
      </c>
      <c r="Q10">
        <v>9093</v>
      </c>
      <c r="R10" s="3">
        <v>0.35619053226467301</v>
      </c>
      <c r="S10" t="s">
        <v>9</v>
      </c>
      <c r="T10">
        <f t="shared" si="0"/>
        <v>30734</v>
      </c>
      <c r="AH10">
        <v>32872</v>
      </c>
    </row>
    <row r="11" spans="1:34" x14ac:dyDescent="0.3">
      <c r="A11" t="s">
        <v>13</v>
      </c>
      <c r="B11" t="s">
        <v>133</v>
      </c>
      <c r="C11" t="s">
        <v>73</v>
      </c>
      <c r="D11" t="s">
        <v>195</v>
      </c>
      <c r="E11" t="s">
        <v>251</v>
      </c>
      <c r="F11" t="s">
        <v>255</v>
      </c>
      <c r="G11" t="s">
        <v>255</v>
      </c>
      <c r="H11" t="s">
        <v>256</v>
      </c>
      <c r="I11" t="s">
        <v>255</v>
      </c>
      <c r="J11" t="s">
        <v>255</v>
      </c>
      <c r="K11" t="s">
        <v>255</v>
      </c>
      <c r="L11" t="s">
        <v>255</v>
      </c>
      <c r="M11">
        <v>1421</v>
      </c>
      <c r="N11">
        <v>1893</v>
      </c>
      <c r="O11">
        <v>2722</v>
      </c>
      <c r="P11">
        <v>4410</v>
      </c>
      <c r="Q11">
        <v>5873</v>
      </c>
      <c r="R11" s="3">
        <v>0.32816852649646844</v>
      </c>
      <c r="S11" t="s">
        <v>13</v>
      </c>
      <c r="T11">
        <f t="shared" si="0"/>
        <v>16319</v>
      </c>
      <c r="AH11">
        <v>17938</v>
      </c>
    </row>
    <row r="12" spans="1:34" x14ac:dyDescent="0.3">
      <c r="A12" t="s">
        <v>18</v>
      </c>
      <c r="B12" t="s">
        <v>138</v>
      </c>
      <c r="C12" t="s">
        <v>78</v>
      </c>
      <c r="D12" t="s">
        <v>200</v>
      </c>
      <c r="E12" t="s">
        <v>251</v>
      </c>
      <c r="F12" t="s">
        <v>255</v>
      </c>
      <c r="G12" t="s">
        <v>255</v>
      </c>
      <c r="H12" t="s">
        <v>256</v>
      </c>
      <c r="I12" t="s">
        <v>255</v>
      </c>
      <c r="J12" t="s">
        <v>256</v>
      </c>
      <c r="K12" t="s">
        <v>255</v>
      </c>
      <c r="L12" t="s">
        <v>256</v>
      </c>
      <c r="M12">
        <v>1530</v>
      </c>
      <c r="N12">
        <v>1620</v>
      </c>
      <c r="O12">
        <v>2027</v>
      </c>
      <c r="P12">
        <v>4881</v>
      </c>
      <c r="Q12">
        <v>6002</v>
      </c>
      <c r="R12" s="3">
        <v>0.31437990899992707</v>
      </c>
      <c r="S12" t="s">
        <v>18</v>
      </c>
      <c r="T12">
        <f t="shared" si="0"/>
        <v>16060</v>
      </c>
      <c r="AH12">
        <v>23830</v>
      </c>
    </row>
    <row r="13" spans="1:34" x14ac:dyDescent="0.3">
      <c r="A13" t="s">
        <v>14</v>
      </c>
      <c r="B13" t="s">
        <v>134</v>
      </c>
      <c r="C13" t="s">
        <v>74</v>
      </c>
      <c r="D13" t="s">
        <v>196</v>
      </c>
      <c r="E13" t="s">
        <v>251</v>
      </c>
      <c r="F13" t="s">
        <v>255</v>
      </c>
      <c r="G13" t="s">
        <v>255</v>
      </c>
      <c r="H13" t="s">
        <v>255</v>
      </c>
      <c r="I13" t="s">
        <v>256</v>
      </c>
      <c r="J13" t="s">
        <v>255</v>
      </c>
      <c r="K13" t="s">
        <v>255</v>
      </c>
      <c r="L13" t="s">
        <v>256</v>
      </c>
      <c r="M13">
        <v>2341</v>
      </c>
      <c r="N13">
        <v>6105</v>
      </c>
      <c r="O13">
        <v>7777</v>
      </c>
      <c r="P13">
        <v>7891</v>
      </c>
      <c r="Q13">
        <v>8758</v>
      </c>
      <c r="R13" s="3">
        <v>0.30196918487306212</v>
      </c>
      <c r="S13" t="s">
        <v>14</v>
      </c>
      <c r="T13">
        <f t="shared" si="0"/>
        <v>32872</v>
      </c>
      <c r="AH13">
        <v>25089</v>
      </c>
    </row>
    <row r="14" spans="1:34" x14ac:dyDescent="0.3">
      <c r="A14" t="s">
        <v>20</v>
      </c>
      <c r="B14" t="s">
        <v>142</v>
      </c>
      <c r="C14" t="s">
        <v>80</v>
      </c>
      <c r="D14" t="s">
        <v>202</v>
      </c>
      <c r="E14" t="s">
        <v>251</v>
      </c>
      <c r="F14" t="s">
        <v>255</v>
      </c>
      <c r="G14" t="s">
        <v>256</v>
      </c>
      <c r="H14" t="s">
        <v>256</v>
      </c>
      <c r="I14" t="s">
        <v>256</v>
      </c>
      <c r="J14" t="s">
        <v>256</v>
      </c>
      <c r="K14" t="s">
        <v>256</v>
      </c>
      <c r="L14" t="s">
        <v>256</v>
      </c>
      <c r="M14">
        <v>1532</v>
      </c>
      <c r="N14">
        <v>2678</v>
      </c>
      <c r="O14">
        <v>4068</v>
      </c>
      <c r="P14">
        <v>4278</v>
      </c>
      <c r="Q14">
        <v>5382</v>
      </c>
      <c r="R14" s="3">
        <v>0.28569213036906493</v>
      </c>
      <c r="S14" t="s">
        <v>20</v>
      </c>
      <c r="T14">
        <f t="shared" si="0"/>
        <v>17938</v>
      </c>
      <c r="AH14">
        <v>30946</v>
      </c>
    </row>
    <row r="15" spans="1:34" x14ac:dyDescent="0.3">
      <c r="A15" t="s">
        <v>10</v>
      </c>
      <c r="B15" t="s">
        <v>130</v>
      </c>
      <c r="C15" t="s">
        <v>70</v>
      </c>
      <c r="D15" t="s">
        <v>192</v>
      </c>
      <c r="E15" t="s">
        <v>251</v>
      </c>
      <c r="F15" t="s">
        <v>255</v>
      </c>
      <c r="G15" t="s">
        <v>255</v>
      </c>
      <c r="H15" t="s">
        <v>255</v>
      </c>
      <c r="I15" t="s">
        <v>256</v>
      </c>
      <c r="J15" t="s">
        <v>255</v>
      </c>
      <c r="K15" t="s">
        <v>255</v>
      </c>
      <c r="L15" t="s">
        <v>255</v>
      </c>
      <c r="M15">
        <v>2786</v>
      </c>
      <c r="N15">
        <v>3804</v>
      </c>
      <c r="O15">
        <v>4121</v>
      </c>
      <c r="P15">
        <v>6210</v>
      </c>
      <c r="Q15">
        <v>6909</v>
      </c>
      <c r="R15" s="3">
        <v>0.19918673575040846</v>
      </c>
      <c r="S15" t="s">
        <v>10</v>
      </c>
      <c r="T15">
        <f t="shared" si="0"/>
        <v>23830</v>
      </c>
      <c r="AH15">
        <v>23066</v>
      </c>
    </row>
    <row r="16" spans="1:34" x14ac:dyDescent="0.3">
      <c r="A16" t="s">
        <v>19</v>
      </c>
      <c r="B16" t="s">
        <v>141</v>
      </c>
      <c r="C16" t="s">
        <v>79</v>
      </c>
      <c r="D16" t="s">
        <v>201</v>
      </c>
      <c r="E16" t="s">
        <v>251</v>
      </c>
      <c r="F16" t="s">
        <v>255</v>
      </c>
      <c r="G16" t="s">
        <v>256</v>
      </c>
      <c r="H16" t="s">
        <v>256</v>
      </c>
      <c r="I16" t="s">
        <v>256</v>
      </c>
      <c r="J16" t="s">
        <v>256</v>
      </c>
      <c r="K16" t="s">
        <v>256</v>
      </c>
      <c r="L16" t="s">
        <v>256</v>
      </c>
      <c r="M16">
        <v>7555</v>
      </c>
      <c r="N16">
        <v>6551</v>
      </c>
      <c r="O16">
        <v>5188</v>
      </c>
      <c r="P16">
        <v>3436</v>
      </c>
      <c r="Q16">
        <v>2359</v>
      </c>
      <c r="R16" s="3">
        <v>-0.2076835105195487</v>
      </c>
      <c r="S16" t="s">
        <v>19</v>
      </c>
      <c r="T16">
        <f t="shared" si="0"/>
        <v>25089</v>
      </c>
      <c r="AH16">
        <v>19401</v>
      </c>
    </row>
    <row r="17" spans="1:34" x14ac:dyDescent="0.3">
      <c r="A17" t="s">
        <v>17</v>
      </c>
      <c r="B17" t="s">
        <v>136</v>
      </c>
      <c r="C17" t="s">
        <v>77</v>
      </c>
      <c r="D17" t="s">
        <v>199</v>
      </c>
      <c r="E17" t="s">
        <v>251</v>
      </c>
      <c r="F17" t="s">
        <v>255</v>
      </c>
      <c r="G17" t="s">
        <v>256</v>
      </c>
      <c r="H17" t="s">
        <v>256</v>
      </c>
      <c r="I17" t="s">
        <v>256</v>
      </c>
      <c r="J17" t="s">
        <v>256</v>
      </c>
      <c r="K17" t="s">
        <v>255</v>
      </c>
      <c r="L17" t="s">
        <v>256</v>
      </c>
      <c r="M17">
        <v>9766</v>
      </c>
      <c r="N17">
        <v>8049</v>
      </c>
      <c r="O17">
        <v>5556</v>
      </c>
      <c r="P17">
        <v>5202</v>
      </c>
      <c r="Q17">
        <v>2373</v>
      </c>
      <c r="R17" s="3">
        <v>-0.24644283485137131</v>
      </c>
      <c r="S17" t="s">
        <v>17</v>
      </c>
      <c r="T17">
        <f t="shared" si="0"/>
        <v>30946</v>
      </c>
      <c r="AH17">
        <v>24084</v>
      </c>
    </row>
    <row r="18" spans="1:34" x14ac:dyDescent="0.3">
      <c r="A18" t="s">
        <v>23</v>
      </c>
      <c r="B18" t="s">
        <v>145</v>
      </c>
      <c r="C18" t="s">
        <v>83</v>
      </c>
      <c r="D18" t="s">
        <v>205</v>
      </c>
      <c r="E18" t="s">
        <v>251</v>
      </c>
      <c r="F18" t="s">
        <v>255</v>
      </c>
      <c r="G18" t="s">
        <v>255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M18">
        <v>9058</v>
      </c>
      <c r="N18">
        <v>4839</v>
      </c>
      <c r="O18">
        <v>4776</v>
      </c>
      <c r="P18">
        <v>4024</v>
      </c>
      <c r="Q18">
        <v>369</v>
      </c>
      <c r="R18" s="3">
        <v>-0.47277158327084157</v>
      </c>
      <c r="S18" t="s">
        <v>23</v>
      </c>
      <c r="T18">
        <f t="shared" si="0"/>
        <v>23066</v>
      </c>
      <c r="AH18">
        <v>20019</v>
      </c>
    </row>
    <row r="19" spans="1:34" x14ac:dyDescent="0.3">
      <c r="A19" t="s">
        <v>15</v>
      </c>
      <c r="B19" t="s">
        <v>135</v>
      </c>
      <c r="C19" t="s">
        <v>75</v>
      </c>
      <c r="D19" t="s">
        <v>197</v>
      </c>
      <c r="E19" t="s">
        <v>251</v>
      </c>
      <c r="F19" t="s">
        <v>255</v>
      </c>
      <c r="G19" t="s">
        <v>256</v>
      </c>
      <c r="H19" t="s">
        <v>256</v>
      </c>
      <c r="I19" t="s">
        <v>256</v>
      </c>
      <c r="J19" t="s">
        <v>256</v>
      </c>
      <c r="K19" t="s">
        <v>255</v>
      </c>
      <c r="L19" t="s">
        <v>256</v>
      </c>
      <c r="M19">
        <v>9252</v>
      </c>
      <c r="N19">
        <v>8499</v>
      </c>
      <c r="O19">
        <v>991</v>
      </c>
      <c r="P19">
        <v>448</v>
      </c>
      <c r="Q19">
        <v>211</v>
      </c>
      <c r="R19" s="3">
        <v>-0.53052835583623759</v>
      </c>
      <c r="S19" t="s">
        <v>15</v>
      </c>
      <c r="T19">
        <f t="shared" si="0"/>
        <v>19401</v>
      </c>
      <c r="AH19">
        <v>30450</v>
      </c>
    </row>
    <row r="20" spans="1:34" x14ac:dyDescent="0.3">
      <c r="A20" t="s">
        <v>40</v>
      </c>
      <c r="B20" t="s">
        <v>162</v>
      </c>
      <c r="C20" t="s">
        <v>100</v>
      </c>
      <c r="D20" t="s">
        <v>222</v>
      </c>
      <c r="E20" t="s">
        <v>253</v>
      </c>
      <c r="F20" t="s">
        <v>255</v>
      </c>
      <c r="G20" t="s">
        <v>255</v>
      </c>
      <c r="H20" t="s">
        <v>255</v>
      </c>
      <c r="I20" t="s">
        <v>255</v>
      </c>
      <c r="J20" t="s">
        <v>255</v>
      </c>
      <c r="K20" t="s">
        <v>255</v>
      </c>
      <c r="L20" t="s">
        <v>256</v>
      </c>
      <c r="M20">
        <v>138</v>
      </c>
      <c r="N20">
        <v>286</v>
      </c>
      <c r="O20">
        <v>6750</v>
      </c>
      <c r="P20">
        <v>8254</v>
      </c>
      <c r="Q20">
        <v>8656</v>
      </c>
      <c r="R20" s="3">
        <v>1.2881665488224225</v>
      </c>
      <c r="S20" t="s">
        <v>40</v>
      </c>
      <c r="T20">
        <f t="shared" si="0"/>
        <v>24084</v>
      </c>
      <c r="AH20">
        <v>28665</v>
      </c>
    </row>
    <row r="21" spans="1:34" x14ac:dyDescent="0.3">
      <c r="A21" t="s">
        <v>48</v>
      </c>
      <c r="B21" t="s">
        <v>170</v>
      </c>
      <c r="C21" t="s">
        <v>108</v>
      </c>
      <c r="D21" t="s">
        <v>230</v>
      </c>
      <c r="E21" t="s">
        <v>253</v>
      </c>
      <c r="F21" t="s">
        <v>255</v>
      </c>
      <c r="G21" t="s">
        <v>255</v>
      </c>
      <c r="H21" t="s">
        <v>255</v>
      </c>
      <c r="I21" t="s">
        <v>255</v>
      </c>
      <c r="J21" t="s">
        <v>255</v>
      </c>
      <c r="K21" t="s">
        <v>255</v>
      </c>
      <c r="L21" t="s">
        <v>255</v>
      </c>
      <c r="M21">
        <v>376</v>
      </c>
      <c r="N21">
        <v>889</v>
      </c>
      <c r="O21">
        <v>4373</v>
      </c>
      <c r="P21">
        <v>6803</v>
      </c>
      <c r="Q21">
        <v>7578</v>
      </c>
      <c r="R21" s="3">
        <v>0.8233638960693328</v>
      </c>
      <c r="S21" t="s">
        <v>48</v>
      </c>
      <c r="T21">
        <f t="shared" si="0"/>
        <v>20019</v>
      </c>
      <c r="AH21">
        <v>27558</v>
      </c>
    </row>
    <row r="22" spans="1:34" x14ac:dyDescent="0.3">
      <c r="A22" t="s">
        <v>53</v>
      </c>
      <c r="B22" t="s">
        <v>175</v>
      </c>
      <c r="C22" t="s">
        <v>113</v>
      </c>
      <c r="D22" t="s">
        <v>235</v>
      </c>
      <c r="E22" t="s">
        <v>253</v>
      </c>
      <c r="F22" t="s">
        <v>255</v>
      </c>
      <c r="G22" t="s">
        <v>255</v>
      </c>
      <c r="H22" t="s">
        <v>255</v>
      </c>
      <c r="I22" t="s">
        <v>255</v>
      </c>
      <c r="J22" t="s">
        <v>255</v>
      </c>
      <c r="K22" t="s">
        <v>256</v>
      </c>
      <c r="L22" t="s">
        <v>256</v>
      </c>
      <c r="M22">
        <v>431</v>
      </c>
      <c r="N22">
        <v>6231</v>
      </c>
      <c r="O22">
        <v>7478</v>
      </c>
      <c r="P22">
        <v>8039</v>
      </c>
      <c r="Q22">
        <v>8271</v>
      </c>
      <c r="R22" s="3">
        <v>0.80557756627518251</v>
      </c>
      <c r="S22" t="s">
        <v>53</v>
      </c>
      <c r="T22">
        <f t="shared" si="0"/>
        <v>30450</v>
      </c>
      <c r="AH22">
        <v>23773</v>
      </c>
    </row>
    <row r="23" spans="1:34" x14ac:dyDescent="0.3">
      <c r="A23" t="s">
        <v>47</v>
      </c>
      <c r="B23" t="s">
        <v>169</v>
      </c>
      <c r="C23" t="s">
        <v>107</v>
      </c>
      <c r="D23" t="s">
        <v>229</v>
      </c>
      <c r="E23" t="s">
        <v>253</v>
      </c>
      <c r="F23" t="s">
        <v>255</v>
      </c>
      <c r="G23" t="s">
        <v>255</v>
      </c>
      <c r="H23" t="s">
        <v>255</v>
      </c>
      <c r="I23" t="s">
        <v>255</v>
      </c>
      <c r="J23" t="s">
        <v>255</v>
      </c>
      <c r="K23" t="s">
        <v>255</v>
      </c>
      <c r="L23" t="s">
        <v>255</v>
      </c>
      <c r="M23">
        <v>488</v>
      </c>
      <c r="N23">
        <v>5535</v>
      </c>
      <c r="O23">
        <v>5775</v>
      </c>
      <c r="P23">
        <v>7661</v>
      </c>
      <c r="Q23">
        <v>9206</v>
      </c>
      <c r="R23" s="3">
        <v>0.79941041442458327</v>
      </c>
      <c r="S23" t="s">
        <v>47</v>
      </c>
      <c r="T23">
        <f t="shared" si="0"/>
        <v>28665</v>
      </c>
      <c r="AH23">
        <v>22203</v>
      </c>
    </row>
    <row r="24" spans="1:34" x14ac:dyDescent="0.3">
      <c r="A24" t="s">
        <v>45</v>
      </c>
      <c r="B24" t="s">
        <v>167</v>
      </c>
      <c r="C24" t="s">
        <v>105</v>
      </c>
      <c r="D24" t="s">
        <v>227</v>
      </c>
      <c r="E24" t="s">
        <v>253</v>
      </c>
      <c r="F24" t="s">
        <v>255</v>
      </c>
      <c r="G24" t="s">
        <v>255</v>
      </c>
      <c r="H24" t="s">
        <v>255</v>
      </c>
      <c r="I24" t="s">
        <v>255</v>
      </c>
      <c r="J24" t="s">
        <v>255</v>
      </c>
      <c r="K24" t="s">
        <v>255</v>
      </c>
      <c r="L24" t="s">
        <v>255</v>
      </c>
      <c r="M24">
        <v>742</v>
      </c>
      <c r="N24">
        <v>3751</v>
      </c>
      <c r="O24">
        <v>4423</v>
      </c>
      <c r="P24">
        <v>8733</v>
      </c>
      <c r="Q24">
        <v>9909</v>
      </c>
      <c r="R24" s="3">
        <v>0.67928800020081637</v>
      </c>
      <c r="S24" t="s">
        <v>45</v>
      </c>
      <c r="T24">
        <f t="shared" si="0"/>
        <v>27558</v>
      </c>
      <c r="AH24">
        <v>29042</v>
      </c>
    </row>
    <row r="25" spans="1:34" x14ac:dyDescent="0.3">
      <c r="A25" t="s">
        <v>50</v>
      </c>
      <c r="B25" t="s">
        <v>172</v>
      </c>
      <c r="C25" t="s">
        <v>110</v>
      </c>
      <c r="D25" t="s">
        <v>232</v>
      </c>
      <c r="E25" t="s">
        <v>253</v>
      </c>
      <c r="F25" t="s">
        <v>255</v>
      </c>
      <c r="G25" t="s">
        <v>255</v>
      </c>
      <c r="H25" t="s">
        <v>255</v>
      </c>
      <c r="I25" t="s">
        <v>255</v>
      </c>
      <c r="J25" t="s">
        <v>255</v>
      </c>
      <c r="K25" t="s">
        <v>255</v>
      </c>
      <c r="L25" t="s">
        <v>255</v>
      </c>
      <c r="M25">
        <v>1038</v>
      </c>
      <c r="N25">
        <v>3615</v>
      </c>
      <c r="O25">
        <v>3712</v>
      </c>
      <c r="P25">
        <v>5819</v>
      </c>
      <c r="Q25">
        <v>9589</v>
      </c>
      <c r="R25" s="3">
        <v>0.55996621610745612</v>
      </c>
      <c r="S25" t="s">
        <v>50</v>
      </c>
      <c r="T25">
        <f t="shared" si="0"/>
        <v>23773</v>
      </c>
      <c r="AH25">
        <v>28460</v>
      </c>
    </row>
    <row r="26" spans="1:34" x14ac:dyDescent="0.3">
      <c r="A26" t="s">
        <v>43</v>
      </c>
      <c r="B26" t="s">
        <v>165</v>
      </c>
      <c r="C26" t="s">
        <v>103</v>
      </c>
      <c r="D26" t="s">
        <v>225</v>
      </c>
      <c r="E26" t="s">
        <v>253</v>
      </c>
      <c r="F26" t="s">
        <v>255</v>
      </c>
      <c r="G26" t="s">
        <v>255</v>
      </c>
      <c r="H26" t="s">
        <v>255</v>
      </c>
      <c r="I26" t="s">
        <v>255</v>
      </c>
      <c r="J26" t="s">
        <v>255</v>
      </c>
      <c r="K26" t="s">
        <v>255</v>
      </c>
      <c r="L26" t="s">
        <v>255</v>
      </c>
      <c r="M26">
        <v>1092</v>
      </c>
      <c r="N26">
        <v>3140</v>
      </c>
      <c r="O26">
        <v>4123</v>
      </c>
      <c r="P26">
        <v>4366</v>
      </c>
      <c r="Q26">
        <v>9482</v>
      </c>
      <c r="R26" s="3">
        <v>0.54076165823872469</v>
      </c>
      <c r="S26" t="s">
        <v>43</v>
      </c>
      <c r="T26">
        <f t="shared" si="0"/>
        <v>22203</v>
      </c>
      <c r="AH26">
        <v>28630</v>
      </c>
    </row>
    <row r="27" spans="1:34" x14ac:dyDescent="0.3">
      <c r="A27" t="s">
        <v>52</v>
      </c>
      <c r="B27" t="s">
        <v>174</v>
      </c>
      <c r="C27" t="s">
        <v>112</v>
      </c>
      <c r="D27" t="s">
        <v>234</v>
      </c>
      <c r="E27" t="s">
        <v>253</v>
      </c>
      <c r="F27" t="s">
        <v>255</v>
      </c>
      <c r="G27" t="s">
        <v>255</v>
      </c>
      <c r="H27" t="s">
        <v>255</v>
      </c>
      <c r="I27" t="s">
        <v>255</v>
      </c>
      <c r="J27" t="s">
        <v>256</v>
      </c>
      <c r="K27" t="s">
        <v>256</v>
      </c>
      <c r="L27" t="s">
        <v>256</v>
      </c>
      <c r="M27">
        <v>1290</v>
      </c>
      <c r="N27">
        <v>4033</v>
      </c>
      <c r="O27">
        <v>6956</v>
      </c>
      <c r="P27">
        <v>7929</v>
      </c>
      <c r="Q27">
        <v>8834</v>
      </c>
      <c r="R27" s="3">
        <v>0.4693103469357589</v>
      </c>
      <c r="S27" t="s">
        <v>52</v>
      </c>
      <c r="T27">
        <f t="shared" si="0"/>
        <v>29042</v>
      </c>
      <c r="AH27">
        <v>31127</v>
      </c>
    </row>
    <row r="28" spans="1:34" x14ac:dyDescent="0.3">
      <c r="A28" t="s">
        <v>44</v>
      </c>
      <c r="B28" t="s">
        <v>166</v>
      </c>
      <c r="C28" t="s">
        <v>104</v>
      </c>
      <c r="D28" t="s">
        <v>226</v>
      </c>
      <c r="E28" t="s">
        <v>253</v>
      </c>
      <c r="F28" t="s">
        <v>255</v>
      </c>
      <c r="G28" t="s">
        <v>255</v>
      </c>
      <c r="H28" t="s">
        <v>255</v>
      </c>
      <c r="I28" t="s">
        <v>256</v>
      </c>
      <c r="J28" t="s">
        <v>256</v>
      </c>
      <c r="K28" t="s">
        <v>255</v>
      </c>
      <c r="L28" t="s">
        <v>255</v>
      </c>
      <c r="M28">
        <v>2541</v>
      </c>
      <c r="N28">
        <v>3794</v>
      </c>
      <c r="O28">
        <v>3984</v>
      </c>
      <c r="P28">
        <v>8803</v>
      </c>
      <c r="Q28">
        <v>9338</v>
      </c>
      <c r="R28" s="3">
        <v>0.29732814762537663</v>
      </c>
      <c r="S28" t="s">
        <v>44</v>
      </c>
      <c r="T28">
        <f t="shared" si="0"/>
        <v>28460</v>
      </c>
      <c r="AH28">
        <v>39331</v>
      </c>
    </row>
    <row r="29" spans="1:34" x14ac:dyDescent="0.3">
      <c r="A29" t="s">
        <v>39</v>
      </c>
      <c r="B29" t="s">
        <v>161</v>
      </c>
      <c r="C29" t="s">
        <v>99</v>
      </c>
      <c r="D29" t="s">
        <v>221</v>
      </c>
      <c r="E29" t="s">
        <v>253</v>
      </c>
      <c r="F29" t="s">
        <v>255</v>
      </c>
      <c r="G29" t="s">
        <v>255</v>
      </c>
      <c r="H29" t="s">
        <v>255</v>
      </c>
      <c r="I29" t="s">
        <v>256</v>
      </c>
      <c r="J29" t="s">
        <v>256</v>
      </c>
      <c r="K29" t="s">
        <v>255</v>
      </c>
      <c r="L29" t="s">
        <v>256</v>
      </c>
      <c r="M29">
        <v>2519</v>
      </c>
      <c r="N29">
        <v>3938</v>
      </c>
      <c r="O29">
        <v>5190</v>
      </c>
      <c r="P29">
        <v>8203</v>
      </c>
      <c r="Q29">
        <v>8780</v>
      </c>
      <c r="R29" s="3">
        <v>0.28366963950173796</v>
      </c>
      <c r="S29" t="s">
        <v>39</v>
      </c>
      <c r="T29">
        <f t="shared" si="0"/>
        <v>28630</v>
      </c>
      <c r="AH29">
        <v>30193</v>
      </c>
    </row>
    <row r="30" spans="1:34" x14ac:dyDescent="0.3">
      <c r="A30" t="s">
        <v>42</v>
      </c>
      <c r="B30" t="s">
        <v>164</v>
      </c>
      <c r="C30" t="s">
        <v>102</v>
      </c>
      <c r="D30" t="s">
        <v>224</v>
      </c>
      <c r="E30" t="s">
        <v>253</v>
      </c>
      <c r="F30" t="s">
        <v>255</v>
      </c>
      <c r="G30" t="s">
        <v>255</v>
      </c>
      <c r="H30" t="s">
        <v>255</v>
      </c>
      <c r="I30" t="s">
        <v>256</v>
      </c>
      <c r="J30" t="s">
        <v>256</v>
      </c>
      <c r="K30" t="s">
        <v>255</v>
      </c>
      <c r="L30" t="s">
        <v>255</v>
      </c>
      <c r="M30">
        <v>3297</v>
      </c>
      <c r="N30">
        <v>4866</v>
      </c>
      <c r="O30">
        <v>4928</v>
      </c>
      <c r="P30">
        <v>8451</v>
      </c>
      <c r="Q30">
        <v>9585</v>
      </c>
      <c r="R30" s="3">
        <v>0.23792585619569206</v>
      </c>
      <c r="S30" t="s">
        <v>42</v>
      </c>
      <c r="T30">
        <f t="shared" si="0"/>
        <v>31127</v>
      </c>
      <c r="AH30">
        <v>21927</v>
      </c>
    </row>
    <row r="31" spans="1:34" x14ac:dyDescent="0.3">
      <c r="A31" t="s">
        <v>41</v>
      </c>
      <c r="B31" t="s">
        <v>163</v>
      </c>
      <c r="C31" t="s">
        <v>101</v>
      </c>
      <c r="D31" t="s">
        <v>223</v>
      </c>
      <c r="E31" t="s">
        <v>253</v>
      </c>
      <c r="F31" t="s">
        <v>255</v>
      </c>
      <c r="G31" t="s">
        <v>255</v>
      </c>
      <c r="H31" t="s">
        <v>255</v>
      </c>
      <c r="I31" t="s">
        <v>256</v>
      </c>
      <c r="J31" t="s">
        <v>256</v>
      </c>
      <c r="K31" t="s">
        <v>255</v>
      </c>
      <c r="L31" t="s">
        <v>255</v>
      </c>
      <c r="M31">
        <v>8873</v>
      </c>
      <c r="N31">
        <v>8484</v>
      </c>
      <c r="O31">
        <v>7883</v>
      </c>
      <c r="P31">
        <v>7499</v>
      </c>
      <c r="Q31">
        <v>6592</v>
      </c>
      <c r="R31" s="3">
        <v>-5.7699669516278251E-2</v>
      </c>
      <c r="S31" t="s">
        <v>41</v>
      </c>
      <c r="T31">
        <f t="shared" si="0"/>
        <v>39331</v>
      </c>
      <c r="AH31">
        <v>23053</v>
      </c>
    </row>
    <row r="32" spans="1:34" x14ac:dyDescent="0.3">
      <c r="A32" t="s">
        <v>51</v>
      </c>
      <c r="B32" t="s">
        <v>173</v>
      </c>
      <c r="C32" t="s">
        <v>111</v>
      </c>
      <c r="D32" t="s">
        <v>233</v>
      </c>
      <c r="E32" t="s">
        <v>253</v>
      </c>
      <c r="F32" t="s">
        <v>255</v>
      </c>
      <c r="G32" t="s">
        <v>255</v>
      </c>
      <c r="H32" t="s">
        <v>256</v>
      </c>
      <c r="I32" t="s">
        <v>256</v>
      </c>
      <c r="J32" t="s">
        <v>256</v>
      </c>
      <c r="K32" t="s">
        <v>256</v>
      </c>
      <c r="L32" t="s">
        <v>256</v>
      </c>
      <c r="M32">
        <v>8891</v>
      </c>
      <c r="N32">
        <v>5952</v>
      </c>
      <c r="O32">
        <v>5914</v>
      </c>
      <c r="P32">
        <v>5405</v>
      </c>
      <c r="Q32">
        <v>4031</v>
      </c>
      <c r="R32" s="3">
        <v>-0.14632524698028038</v>
      </c>
      <c r="S32" t="s">
        <v>51</v>
      </c>
      <c r="T32">
        <f t="shared" si="0"/>
        <v>30193</v>
      </c>
      <c r="AH32">
        <v>8676</v>
      </c>
    </row>
    <row r="33" spans="1:34" x14ac:dyDescent="0.3">
      <c r="A33" t="s">
        <v>46</v>
      </c>
      <c r="B33" t="s">
        <v>168</v>
      </c>
      <c r="C33" t="s">
        <v>106</v>
      </c>
      <c r="D33" t="s">
        <v>228</v>
      </c>
      <c r="E33" t="s">
        <v>253</v>
      </c>
      <c r="F33" t="s">
        <v>255</v>
      </c>
      <c r="G33" t="s">
        <v>256</v>
      </c>
      <c r="H33" t="s">
        <v>256</v>
      </c>
      <c r="I33" t="s">
        <v>256</v>
      </c>
      <c r="J33" t="s">
        <v>256</v>
      </c>
      <c r="K33" t="s">
        <v>255</v>
      </c>
      <c r="L33" t="s">
        <v>255</v>
      </c>
      <c r="M33">
        <v>7703</v>
      </c>
      <c r="N33">
        <v>6957</v>
      </c>
      <c r="O33">
        <v>3898</v>
      </c>
      <c r="P33">
        <v>1857</v>
      </c>
      <c r="Q33">
        <v>1512</v>
      </c>
      <c r="R33" s="3">
        <v>-0.27793153457210906</v>
      </c>
      <c r="S33" t="s">
        <v>46</v>
      </c>
      <c r="T33">
        <f t="shared" si="0"/>
        <v>21927</v>
      </c>
      <c r="AH33">
        <v>25197</v>
      </c>
    </row>
    <row r="34" spans="1:34" x14ac:dyDescent="0.3">
      <c r="A34" t="s">
        <v>49</v>
      </c>
      <c r="B34" t="s">
        <v>171</v>
      </c>
      <c r="C34" t="s">
        <v>109</v>
      </c>
      <c r="D34" t="s">
        <v>231</v>
      </c>
      <c r="E34" t="s">
        <v>253</v>
      </c>
      <c r="F34" t="s">
        <v>255</v>
      </c>
      <c r="G34" t="s">
        <v>256</v>
      </c>
      <c r="H34" t="s">
        <v>256</v>
      </c>
      <c r="I34" t="s">
        <v>256</v>
      </c>
      <c r="J34" t="s">
        <v>256</v>
      </c>
      <c r="K34" t="s">
        <v>255</v>
      </c>
      <c r="L34" t="s">
        <v>255</v>
      </c>
      <c r="M34">
        <v>7840</v>
      </c>
      <c r="N34">
        <v>5804</v>
      </c>
      <c r="O34">
        <v>4259</v>
      </c>
      <c r="P34">
        <v>4243</v>
      </c>
      <c r="Q34">
        <v>907</v>
      </c>
      <c r="R34" s="3">
        <v>-0.35038170863775375</v>
      </c>
      <c r="S34" t="s">
        <v>49</v>
      </c>
      <c r="T34">
        <f t="shared" si="0"/>
        <v>23053</v>
      </c>
      <c r="AH34">
        <v>29285</v>
      </c>
    </row>
    <row r="35" spans="1:34" x14ac:dyDescent="0.3">
      <c r="A35" t="s">
        <v>64</v>
      </c>
      <c r="B35" t="s">
        <v>186</v>
      </c>
      <c r="C35" t="s">
        <v>124</v>
      </c>
      <c r="D35" t="s">
        <v>246</v>
      </c>
      <c r="E35" t="s">
        <v>254</v>
      </c>
      <c r="F35" t="s">
        <v>255</v>
      </c>
      <c r="G35" t="s">
        <v>255</v>
      </c>
      <c r="H35" t="s">
        <v>255</v>
      </c>
      <c r="I35" t="s">
        <v>255</v>
      </c>
      <c r="J35" t="s">
        <v>256</v>
      </c>
      <c r="K35" t="s">
        <v>256</v>
      </c>
      <c r="L35" t="s">
        <v>256</v>
      </c>
      <c r="M35">
        <v>128</v>
      </c>
      <c r="N35">
        <v>416</v>
      </c>
      <c r="O35">
        <v>747</v>
      </c>
      <c r="P35">
        <v>1028</v>
      </c>
      <c r="Q35">
        <v>6357</v>
      </c>
      <c r="R35" s="3">
        <v>1.1837778083492312</v>
      </c>
      <c r="S35" t="s">
        <v>64</v>
      </c>
      <c r="T35">
        <f t="shared" si="0"/>
        <v>8676</v>
      </c>
      <c r="AH35">
        <v>17038</v>
      </c>
    </row>
    <row r="36" spans="1:34" x14ac:dyDescent="0.3">
      <c r="A36" t="s">
        <v>55</v>
      </c>
      <c r="B36" t="s">
        <v>177</v>
      </c>
      <c r="C36" t="s">
        <v>115</v>
      </c>
      <c r="D36" t="s">
        <v>237</v>
      </c>
      <c r="E36" t="s">
        <v>254</v>
      </c>
      <c r="F36" t="s">
        <v>255</v>
      </c>
      <c r="G36" t="s">
        <v>255</v>
      </c>
      <c r="H36" t="s">
        <v>255</v>
      </c>
      <c r="I36" t="s">
        <v>255</v>
      </c>
      <c r="J36" t="s">
        <v>256</v>
      </c>
      <c r="K36" t="s">
        <v>255</v>
      </c>
      <c r="L36" t="s">
        <v>256</v>
      </c>
      <c r="M36">
        <v>299</v>
      </c>
      <c r="N36">
        <v>657</v>
      </c>
      <c r="O36">
        <v>6238</v>
      </c>
      <c r="P36">
        <v>8922</v>
      </c>
      <c r="Q36">
        <v>9081</v>
      </c>
      <c r="R36" s="3">
        <v>0.9792128296192284</v>
      </c>
      <c r="S36" t="s">
        <v>55</v>
      </c>
      <c r="T36">
        <f t="shared" si="0"/>
        <v>25197</v>
      </c>
      <c r="AH36">
        <v>28608</v>
      </c>
    </row>
    <row r="37" spans="1:34" x14ac:dyDescent="0.3">
      <c r="A37" t="s">
        <v>58</v>
      </c>
      <c r="B37" t="s">
        <v>180</v>
      </c>
      <c r="C37" t="s">
        <v>118</v>
      </c>
      <c r="D37" t="s">
        <v>240</v>
      </c>
      <c r="E37" t="s">
        <v>254</v>
      </c>
      <c r="F37" t="s">
        <v>255</v>
      </c>
      <c r="G37" t="s">
        <v>255</v>
      </c>
      <c r="H37" t="s">
        <v>255</v>
      </c>
      <c r="I37" t="s">
        <v>256</v>
      </c>
      <c r="J37" t="s">
        <v>256</v>
      </c>
      <c r="K37" t="s">
        <v>255</v>
      </c>
      <c r="L37" t="s">
        <v>256</v>
      </c>
      <c r="M37">
        <v>870</v>
      </c>
      <c r="N37">
        <v>2428</v>
      </c>
      <c r="O37">
        <v>7386</v>
      </c>
      <c r="P37">
        <v>8835</v>
      </c>
      <c r="Q37">
        <v>9766</v>
      </c>
      <c r="R37" s="3">
        <v>0.62195758671656565</v>
      </c>
      <c r="S37" t="s">
        <v>58</v>
      </c>
      <c r="T37">
        <f t="shared" si="0"/>
        <v>29285</v>
      </c>
      <c r="AH37">
        <v>29730</v>
      </c>
    </row>
    <row r="38" spans="1:34" x14ac:dyDescent="0.3">
      <c r="A38" t="s">
        <v>63</v>
      </c>
      <c r="B38" t="s">
        <v>185</v>
      </c>
      <c r="C38" t="s">
        <v>123</v>
      </c>
      <c r="D38" t="s">
        <v>245</v>
      </c>
      <c r="E38" t="s">
        <v>254</v>
      </c>
      <c r="F38" t="s">
        <v>255</v>
      </c>
      <c r="G38" t="s">
        <v>256</v>
      </c>
      <c r="H38" t="s">
        <v>256</v>
      </c>
      <c r="I38" t="s">
        <v>256</v>
      </c>
      <c r="J38" t="s">
        <v>256</v>
      </c>
      <c r="K38" t="s">
        <v>255</v>
      </c>
      <c r="L38" t="s">
        <v>256</v>
      </c>
      <c r="M38">
        <v>576</v>
      </c>
      <c r="N38">
        <v>2628</v>
      </c>
      <c r="O38">
        <v>3612</v>
      </c>
      <c r="P38">
        <v>5066</v>
      </c>
      <c r="Q38">
        <v>5156</v>
      </c>
      <c r="R38" s="3">
        <v>0.55016556394106075</v>
      </c>
      <c r="S38" t="s">
        <v>63</v>
      </c>
      <c r="T38">
        <f t="shared" si="0"/>
        <v>17038</v>
      </c>
      <c r="AH38">
        <v>22328</v>
      </c>
    </row>
    <row r="39" spans="1:34" x14ac:dyDescent="0.3">
      <c r="A39" t="s">
        <v>60</v>
      </c>
      <c r="B39" t="s">
        <v>182</v>
      </c>
      <c r="C39" t="s">
        <v>120</v>
      </c>
      <c r="D39" t="s">
        <v>242</v>
      </c>
      <c r="E39" t="s">
        <v>254</v>
      </c>
      <c r="F39" t="s">
        <v>255</v>
      </c>
      <c r="G39" t="s">
        <v>255</v>
      </c>
      <c r="H39" t="s">
        <v>255</v>
      </c>
      <c r="I39" t="s">
        <v>256</v>
      </c>
      <c r="J39" t="s">
        <v>256</v>
      </c>
      <c r="K39" t="s">
        <v>255</v>
      </c>
      <c r="L39" t="s">
        <v>256</v>
      </c>
      <c r="M39">
        <v>1082</v>
      </c>
      <c r="N39">
        <v>3353</v>
      </c>
      <c r="O39">
        <v>6351</v>
      </c>
      <c r="P39">
        <v>8550</v>
      </c>
      <c r="Q39">
        <v>9272</v>
      </c>
      <c r="R39" s="3">
        <v>0.53670049949440091</v>
      </c>
      <c r="S39" t="s">
        <v>60</v>
      </c>
      <c r="T39">
        <f t="shared" si="0"/>
        <v>28608</v>
      </c>
      <c r="AH39">
        <v>26867</v>
      </c>
    </row>
    <row r="40" spans="1:34" x14ac:dyDescent="0.3">
      <c r="A40" t="s">
        <v>66</v>
      </c>
      <c r="B40" t="s">
        <v>188</v>
      </c>
      <c r="C40" t="s">
        <v>126</v>
      </c>
      <c r="D40" t="s">
        <v>248</v>
      </c>
      <c r="E40" t="s">
        <v>254</v>
      </c>
      <c r="F40" t="s">
        <v>255</v>
      </c>
      <c r="G40" t="s">
        <v>255</v>
      </c>
      <c r="H40" t="s">
        <v>255</v>
      </c>
      <c r="I40" t="s">
        <v>256</v>
      </c>
      <c r="J40" t="s">
        <v>256</v>
      </c>
      <c r="K40" t="s">
        <v>256</v>
      </c>
      <c r="L40" t="s">
        <v>256</v>
      </c>
      <c r="M40">
        <v>1263</v>
      </c>
      <c r="N40">
        <v>2517</v>
      </c>
      <c r="O40">
        <v>8042</v>
      </c>
      <c r="P40">
        <v>8222</v>
      </c>
      <c r="Q40">
        <v>9686</v>
      </c>
      <c r="R40" s="3">
        <v>0.50296277017670943</v>
      </c>
      <c r="S40" t="s">
        <v>66</v>
      </c>
      <c r="T40">
        <f t="shared" si="0"/>
        <v>29730</v>
      </c>
      <c r="AH40">
        <v>21609</v>
      </c>
    </row>
    <row r="41" spans="1:34" x14ac:dyDescent="0.3">
      <c r="A41" t="s">
        <v>68</v>
      </c>
      <c r="B41" t="s">
        <v>190</v>
      </c>
      <c r="C41" t="s">
        <v>128</v>
      </c>
      <c r="D41" t="s">
        <v>250</v>
      </c>
      <c r="E41" t="s">
        <v>254</v>
      </c>
      <c r="F41" t="s">
        <v>255</v>
      </c>
      <c r="G41" t="s">
        <v>255</v>
      </c>
      <c r="H41" t="s">
        <v>255</v>
      </c>
      <c r="I41" t="s">
        <v>256</v>
      </c>
      <c r="J41" t="s">
        <v>256</v>
      </c>
      <c r="K41" t="s">
        <v>256</v>
      </c>
      <c r="L41" t="s">
        <v>256</v>
      </c>
      <c r="M41">
        <v>1014</v>
      </c>
      <c r="N41">
        <v>2254</v>
      </c>
      <c r="O41">
        <v>4534</v>
      </c>
      <c r="P41">
        <v>6796</v>
      </c>
      <c r="Q41">
        <v>7730</v>
      </c>
      <c r="R41" s="3">
        <v>0.50116457691279459</v>
      </c>
      <c r="S41" t="s">
        <v>68</v>
      </c>
      <c r="T41">
        <f t="shared" si="0"/>
        <v>22328</v>
      </c>
      <c r="AH41">
        <v>21461</v>
      </c>
    </row>
    <row r="42" spans="1:34" x14ac:dyDescent="0.3">
      <c r="A42" t="s">
        <v>62</v>
      </c>
      <c r="B42" t="s">
        <v>184</v>
      </c>
      <c r="C42" t="s">
        <v>122</v>
      </c>
      <c r="D42" t="s">
        <v>244</v>
      </c>
      <c r="E42" t="s">
        <v>254</v>
      </c>
      <c r="F42" t="s">
        <v>255</v>
      </c>
      <c r="G42" t="s">
        <v>255</v>
      </c>
      <c r="H42" t="s">
        <v>255</v>
      </c>
      <c r="I42" t="s">
        <v>256</v>
      </c>
      <c r="J42" t="s">
        <v>256</v>
      </c>
      <c r="K42" t="s">
        <v>255</v>
      </c>
      <c r="L42" t="s">
        <v>256</v>
      </c>
      <c r="M42">
        <v>1357</v>
      </c>
      <c r="N42">
        <v>4189</v>
      </c>
      <c r="O42">
        <v>5407</v>
      </c>
      <c r="P42">
        <v>6233</v>
      </c>
      <c r="Q42">
        <v>9681</v>
      </c>
      <c r="R42" s="3">
        <v>0.48138544913845771</v>
      </c>
      <c r="S42" t="s">
        <v>62</v>
      </c>
      <c r="T42">
        <f t="shared" si="0"/>
        <v>26867</v>
      </c>
      <c r="AH42">
        <v>27508</v>
      </c>
    </row>
    <row r="43" spans="1:34" x14ac:dyDescent="0.3">
      <c r="A43" t="s">
        <v>59</v>
      </c>
      <c r="B43" t="s">
        <v>181</v>
      </c>
      <c r="C43" t="s">
        <v>119</v>
      </c>
      <c r="D43" t="s">
        <v>241</v>
      </c>
      <c r="E43" t="s">
        <v>254</v>
      </c>
      <c r="F43" t="s">
        <v>255</v>
      </c>
      <c r="G43" t="s">
        <v>255</v>
      </c>
      <c r="H43" t="s">
        <v>255</v>
      </c>
      <c r="I43" t="s">
        <v>256</v>
      </c>
      <c r="J43" t="s">
        <v>256</v>
      </c>
      <c r="K43" t="s">
        <v>255</v>
      </c>
      <c r="L43" t="s">
        <v>256</v>
      </c>
      <c r="M43">
        <v>1497</v>
      </c>
      <c r="N43">
        <v>1768</v>
      </c>
      <c r="O43">
        <v>2804</v>
      </c>
      <c r="P43">
        <v>5718</v>
      </c>
      <c r="Q43">
        <v>9822</v>
      </c>
      <c r="R43" s="3">
        <v>0.45678555299281132</v>
      </c>
      <c r="S43" t="s">
        <v>59</v>
      </c>
      <c r="T43">
        <f t="shared" si="0"/>
        <v>21609</v>
      </c>
      <c r="AH43">
        <v>36951</v>
      </c>
    </row>
    <row r="44" spans="1:34" x14ac:dyDescent="0.3">
      <c r="A44" t="s">
        <v>67</v>
      </c>
      <c r="B44" t="s">
        <v>189</v>
      </c>
      <c r="C44" t="s">
        <v>127</v>
      </c>
      <c r="D44" t="s">
        <v>249</v>
      </c>
      <c r="E44" t="s">
        <v>254</v>
      </c>
      <c r="F44" t="s">
        <v>255</v>
      </c>
      <c r="G44" t="s">
        <v>255</v>
      </c>
      <c r="H44" t="s">
        <v>255</v>
      </c>
      <c r="I44" t="s">
        <v>256</v>
      </c>
      <c r="J44" t="s">
        <v>256</v>
      </c>
      <c r="K44" t="s">
        <v>256</v>
      </c>
      <c r="L44" t="s">
        <v>256</v>
      </c>
      <c r="M44">
        <v>1032</v>
      </c>
      <c r="N44">
        <v>3919</v>
      </c>
      <c r="O44">
        <v>4466</v>
      </c>
      <c r="P44">
        <v>5568</v>
      </c>
      <c r="Q44">
        <v>6476</v>
      </c>
      <c r="R44" s="3">
        <v>0.44386114193401105</v>
      </c>
      <c r="S44" t="s">
        <v>67</v>
      </c>
      <c r="T44">
        <f t="shared" si="0"/>
        <v>21461</v>
      </c>
      <c r="AH44">
        <v>23827</v>
      </c>
    </row>
    <row r="45" spans="1:34" x14ac:dyDescent="0.3">
      <c r="A45" t="s">
        <v>56</v>
      </c>
      <c r="B45" t="s">
        <v>178</v>
      </c>
      <c r="C45" t="s">
        <v>116</v>
      </c>
      <c r="D45" t="s">
        <v>238</v>
      </c>
      <c r="E45" t="s">
        <v>254</v>
      </c>
      <c r="F45" t="s">
        <v>255</v>
      </c>
      <c r="G45" t="s">
        <v>255</v>
      </c>
      <c r="H45" t="s">
        <v>255</v>
      </c>
      <c r="I45" t="s">
        <v>256</v>
      </c>
      <c r="J45" t="s">
        <v>256</v>
      </c>
      <c r="K45" t="s">
        <v>255</v>
      </c>
      <c r="L45" t="s">
        <v>256</v>
      </c>
      <c r="M45">
        <v>1323</v>
      </c>
      <c r="N45">
        <v>4963</v>
      </c>
      <c r="O45">
        <v>6292</v>
      </c>
      <c r="P45">
        <v>6728</v>
      </c>
      <c r="Q45">
        <v>8202</v>
      </c>
      <c r="R45" s="3">
        <v>0.44036309105086757</v>
      </c>
      <c r="S45" t="s">
        <v>56</v>
      </c>
      <c r="T45">
        <f t="shared" si="0"/>
        <v>27508</v>
      </c>
      <c r="AH45">
        <v>19283</v>
      </c>
    </row>
    <row r="46" spans="1:34" x14ac:dyDescent="0.3">
      <c r="A46" t="s">
        <v>61</v>
      </c>
      <c r="B46" t="s">
        <v>183</v>
      </c>
      <c r="C46" t="s">
        <v>121</v>
      </c>
      <c r="D46" t="s">
        <v>243</v>
      </c>
      <c r="E46" t="s">
        <v>254</v>
      </c>
      <c r="F46" t="s">
        <v>255</v>
      </c>
      <c r="G46" t="s">
        <v>255</v>
      </c>
      <c r="H46" t="s">
        <v>256</v>
      </c>
      <c r="I46" t="s">
        <v>256</v>
      </c>
      <c r="J46" t="s">
        <v>256</v>
      </c>
      <c r="K46" t="s">
        <v>255</v>
      </c>
      <c r="L46" t="s">
        <v>256</v>
      </c>
      <c r="M46">
        <v>9791</v>
      </c>
      <c r="N46">
        <v>9610</v>
      </c>
      <c r="O46">
        <v>7534</v>
      </c>
      <c r="P46">
        <v>5080</v>
      </c>
      <c r="Q46">
        <v>4936</v>
      </c>
      <c r="R46" s="3">
        <v>-0.12801378349095649</v>
      </c>
      <c r="S46" t="s">
        <v>61</v>
      </c>
      <c r="T46">
        <f t="shared" si="0"/>
        <v>36951</v>
      </c>
      <c r="AH46">
        <v>10574</v>
      </c>
    </row>
    <row r="47" spans="1:34" x14ac:dyDescent="0.3">
      <c r="A47" t="s">
        <v>65</v>
      </c>
      <c r="B47" t="s">
        <v>187</v>
      </c>
      <c r="C47" t="s">
        <v>125</v>
      </c>
      <c r="D47" t="s">
        <v>247</v>
      </c>
      <c r="E47" t="s">
        <v>254</v>
      </c>
      <c r="F47" t="s">
        <v>255</v>
      </c>
      <c r="G47" t="s">
        <v>256</v>
      </c>
      <c r="H47" t="s">
        <v>256</v>
      </c>
      <c r="I47" t="s">
        <v>256</v>
      </c>
      <c r="J47" t="s">
        <v>256</v>
      </c>
      <c r="K47" t="s">
        <v>256</v>
      </c>
      <c r="L47" t="s">
        <v>256</v>
      </c>
      <c r="M47">
        <v>8034</v>
      </c>
      <c r="N47">
        <v>6541</v>
      </c>
      <c r="O47">
        <v>3311</v>
      </c>
      <c r="P47">
        <v>3254</v>
      </c>
      <c r="Q47">
        <v>2687</v>
      </c>
      <c r="R47" s="3">
        <v>-0.19671960466548288</v>
      </c>
      <c r="S47" t="s">
        <v>65</v>
      </c>
      <c r="T47">
        <f t="shared" si="0"/>
        <v>23827</v>
      </c>
      <c r="AH47">
        <v>21393</v>
      </c>
    </row>
    <row r="48" spans="1:34" x14ac:dyDescent="0.3">
      <c r="A48" t="s">
        <v>57</v>
      </c>
      <c r="B48" t="s">
        <v>179</v>
      </c>
      <c r="C48" t="s">
        <v>117</v>
      </c>
      <c r="D48" t="s">
        <v>239</v>
      </c>
      <c r="E48" t="s">
        <v>254</v>
      </c>
      <c r="F48" t="s">
        <v>255</v>
      </c>
      <c r="G48" t="s">
        <v>256</v>
      </c>
      <c r="H48" t="s">
        <v>256</v>
      </c>
      <c r="I48" t="s">
        <v>256</v>
      </c>
      <c r="J48" t="s">
        <v>256</v>
      </c>
      <c r="K48" t="s">
        <v>255</v>
      </c>
      <c r="L48" t="s">
        <v>256</v>
      </c>
      <c r="M48">
        <v>8466</v>
      </c>
      <c r="N48">
        <v>4079</v>
      </c>
      <c r="O48">
        <v>2797</v>
      </c>
      <c r="P48">
        <v>2245</v>
      </c>
      <c r="Q48">
        <v>1696</v>
      </c>
      <c r="R48" s="3">
        <v>-0.27498078493866884</v>
      </c>
      <c r="S48" t="s">
        <v>57</v>
      </c>
      <c r="T48">
        <f t="shared" si="0"/>
        <v>19283</v>
      </c>
      <c r="AH48">
        <v>19479</v>
      </c>
    </row>
    <row r="49" spans="1:34" x14ac:dyDescent="0.3">
      <c r="A49" t="s">
        <v>54</v>
      </c>
      <c r="B49" t="s">
        <v>176</v>
      </c>
      <c r="C49" t="s">
        <v>114</v>
      </c>
      <c r="D49" t="s">
        <v>236</v>
      </c>
      <c r="E49" t="s">
        <v>254</v>
      </c>
      <c r="F49" t="s">
        <v>255</v>
      </c>
      <c r="G49" t="s">
        <v>256</v>
      </c>
      <c r="H49" t="s">
        <v>256</v>
      </c>
      <c r="I49" t="s">
        <v>256</v>
      </c>
      <c r="J49" t="s">
        <v>256</v>
      </c>
      <c r="K49" t="s">
        <v>255</v>
      </c>
      <c r="L49" t="s">
        <v>256</v>
      </c>
      <c r="M49">
        <v>8156</v>
      </c>
      <c r="N49">
        <v>1245</v>
      </c>
      <c r="O49">
        <v>791</v>
      </c>
      <c r="P49">
        <v>338</v>
      </c>
      <c r="Q49">
        <v>44</v>
      </c>
      <c r="R49" s="3">
        <v>-0.64811958793334279</v>
      </c>
      <c r="S49" t="s">
        <v>54</v>
      </c>
      <c r="T49">
        <f t="shared" si="0"/>
        <v>10574</v>
      </c>
      <c r="AH49">
        <v>18576</v>
      </c>
    </row>
    <row r="50" spans="1:34" x14ac:dyDescent="0.3">
      <c r="A50" t="s">
        <v>28</v>
      </c>
      <c r="B50" t="s">
        <v>150</v>
      </c>
      <c r="C50" t="s">
        <v>88</v>
      </c>
      <c r="D50" t="s">
        <v>210</v>
      </c>
      <c r="E50" t="s">
        <v>252</v>
      </c>
      <c r="F50" t="s">
        <v>255</v>
      </c>
      <c r="G50" t="s">
        <v>255</v>
      </c>
      <c r="H50" t="s">
        <v>256</v>
      </c>
      <c r="I50" t="s">
        <v>255</v>
      </c>
      <c r="J50" t="s">
        <v>256</v>
      </c>
      <c r="K50" t="s">
        <v>255</v>
      </c>
      <c r="L50" t="s">
        <v>256</v>
      </c>
      <c r="M50">
        <v>73</v>
      </c>
      <c r="N50">
        <v>3485</v>
      </c>
      <c r="O50">
        <v>4592</v>
      </c>
      <c r="P50">
        <v>5143</v>
      </c>
      <c r="Q50">
        <v>8100</v>
      </c>
      <c r="R50" s="3">
        <v>1.5646755513040227</v>
      </c>
      <c r="S50" t="s">
        <v>28</v>
      </c>
      <c r="T50">
        <f t="shared" si="0"/>
        <v>21393</v>
      </c>
      <c r="AH50">
        <v>27185</v>
      </c>
    </row>
    <row r="51" spans="1:34" x14ac:dyDescent="0.3">
      <c r="A51" t="s">
        <v>35</v>
      </c>
      <c r="B51" t="s">
        <v>157</v>
      </c>
      <c r="C51" t="s">
        <v>95</v>
      </c>
      <c r="D51" t="s">
        <v>217</v>
      </c>
      <c r="E51" t="s">
        <v>252</v>
      </c>
      <c r="F51" t="s">
        <v>255</v>
      </c>
      <c r="G51" t="s">
        <v>255</v>
      </c>
      <c r="H51" t="s">
        <v>256</v>
      </c>
      <c r="I51" t="s">
        <v>255</v>
      </c>
      <c r="J51" t="s">
        <v>255</v>
      </c>
      <c r="K51" t="s">
        <v>255</v>
      </c>
      <c r="L51" t="s">
        <v>256</v>
      </c>
      <c r="M51">
        <v>209</v>
      </c>
      <c r="N51">
        <v>621</v>
      </c>
      <c r="O51">
        <v>3098</v>
      </c>
      <c r="P51">
        <v>7118</v>
      </c>
      <c r="Q51">
        <v>8433</v>
      </c>
      <c r="R51" s="3">
        <v>1.0949186488492955</v>
      </c>
      <c r="S51" t="s">
        <v>35</v>
      </c>
      <c r="T51">
        <f t="shared" si="0"/>
        <v>19479</v>
      </c>
      <c r="AH51">
        <v>30399</v>
      </c>
    </row>
    <row r="52" spans="1:34" x14ac:dyDescent="0.3">
      <c r="A52" t="s">
        <v>29</v>
      </c>
      <c r="B52" t="s">
        <v>151</v>
      </c>
      <c r="C52" t="s">
        <v>89</v>
      </c>
      <c r="D52" t="s">
        <v>211</v>
      </c>
      <c r="E52" t="s">
        <v>252</v>
      </c>
      <c r="F52" t="s">
        <v>255</v>
      </c>
      <c r="G52" t="s">
        <v>255</v>
      </c>
      <c r="H52" t="s">
        <v>256</v>
      </c>
      <c r="I52" t="s">
        <v>255</v>
      </c>
      <c r="J52" t="s">
        <v>256</v>
      </c>
      <c r="K52" t="s">
        <v>255</v>
      </c>
      <c r="L52" t="s">
        <v>256</v>
      </c>
      <c r="M52">
        <v>238</v>
      </c>
      <c r="N52">
        <v>1235</v>
      </c>
      <c r="O52">
        <v>1822</v>
      </c>
      <c r="P52">
        <v>7074</v>
      </c>
      <c r="Q52">
        <v>8207</v>
      </c>
      <c r="R52" s="3">
        <v>1.0301189974956895</v>
      </c>
      <c r="S52" t="s">
        <v>29</v>
      </c>
      <c r="T52">
        <f t="shared" si="0"/>
        <v>18576</v>
      </c>
      <c r="AH52">
        <v>27074</v>
      </c>
    </row>
    <row r="53" spans="1:34" x14ac:dyDescent="0.3">
      <c r="A53" t="s">
        <v>33</v>
      </c>
      <c r="B53" t="s">
        <v>155</v>
      </c>
      <c r="C53" t="s">
        <v>93</v>
      </c>
      <c r="D53" t="s">
        <v>215</v>
      </c>
      <c r="E53" t="s">
        <v>252</v>
      </c>
      <c r="F53" t="s">
        <v>255</v>
      </c>
      <c r="G53" t="s">
        <v>255</v>
      </c>
      <c r="H53" t="s">
        <v>256</v>
      </c>
      <c r="I53" t="s">
        <v>255</v>
      </c>
      <c r="J53" t="s">
        <v>255</v>
      </c>
      <c r="K53" t="s">
        <v>255</v>
      </c>
      <c r="L53" t="s">
        <v>256</v>
      </c>
      <c r="M53">
        <v>570</v>
      </c>
      <c r="N53">
        <v>1322</v>
      </c>
      <c r="O53">
        <v>7279</v>
      </c>
      <c r="P53">
        <v>8443</v>
      </c>
      <c r="Q53">
        <v>9571</v>
      </c>
      <c r="R53" s="3">
        <v>0.7579903714787859</v>
      </c>
      <c r="S53" t="s">
        <v>33</v>
      </c>
      <c r="T53">
        <f t="shared" si="0"/>
        <v>27185</v>
      </c>
      <c r="AH53">
        <v>24809</v>
      </c>
    </row>
    <row r="54" spans="1:34" x14ac:dyDescent="0.3">
      <c r="A54" t="s">
        <v>26</v>
      </c>
      <c r="B54" t="s">
        <v>148</v>
      </c>
      <c r="C54" t="s">
        <v>86</v>
      </c>
      <c r="D54" t="s">
        <v>208</v>
      </c>
      <c r="E54" t="s">
        <v>252</v>
      </c>
      <c r="F54" t="s">
        <v>255</v>
      </c>
      <c r="G54" t="s">
        <v>255</v>
      </c>
      <c r="H54" t="s">
        <v>256</v>
      </c>
      <c r="I54" t="s">
        <v>255</v>
      </c>
      <c r="J54" t="s">
        <v>256</v>
      </c>
      <c r="K54" t="s">
        <v>255</v>
      </c>
      <c r="L54" t="s">
        <v>256</v>
      </c>
      <c r="M54">
        <v>700</v>
      </c>
      <c r="N54">
        <v>5721</v>
      </c>
      <c r="O54">
        <v>6247</v>
      </c>
      <c r="P54">
        <v>8495</v>
      </c>
      <c r="Q54">
        <v>9236</v>
      </c>
      <c r="R54" s="3">
        <v>0.67524055030166985</v>
      </c>
      <c r="S54" t="s">
        <v>26</v>
      </c>
      <c r="T54">
        <f t="shared" si="0"/>
        <v>30399</v>
      </c>
      <c r="AH54">
        <v>23194</v>
      </c>
    </row>
    <row r="55" spans="1:34" x14ac:dyDescent="0.3">
      <c r="A55" t="s">
        <v>37</v>
      </c>
      <c r="B55" t="s">
        <v>159</v>
      </c>
      <c r="C55" t="s">
        <v>97</v>
      </c>
      <c r="D55" t="s">
        <v>219</v>
      </c>
      <c r="E55" t="s">
        <v>252</v>
      </c>
      <c r="F55" t="s">
        <v>255</v>
      </c>
      <c r="G55" t="s">
        <v>255</v>
      </c>
      <c r="H55" t="s">
        <v>256</v>
      </c>
      <c r="I55" t="s">
        <v>255</v>
      </c>
      <c r="J55" t="s">
        <v>256</v>
      </c>
      <c r="K55" t="s">
        <v>255</v>
      </c>
      <c r="L55" t="s">
        <v>256</v>
      </c>
      <c r="M55">
        <v>712</v>
      </c>
      <c r="N55">
        <v>4182</v>
      </c>
      <c r="O55">
        <v>6087</v>
      </c>
      <c r="P55">
        <v>7494</v>
      </c>
      <c r="Q55">
        <v>8599</v>
      </c>
      <c r="R55" s="3">
        <v>0.64586265484059613</v>
      </c>
      <c r="S55" t="s">
        <v>37</v>
      </c>
      <c r="T55">
        <f t="shared" si="0"/>
        <v>27074</v>
      </c>
      <c r="AH55">
        <v>34686</v>
      </c>
    </row>
    <row r="56" spans="1:34" x14ac:dyDescent="0.3">
      <c r="A56" t="s">
        <v>30</v>
      </c>
      <c r="B56" t="s">
        <v>152</v>
      </c>
      <c r="C56" t="s">
        <v>90</v>
      </c>
      <c r="D56" t="s">
        <v>212</v>
      </c>
      <c r="E56" t="s">
        <v>252</v>
      </c>
      <c r="F56" t="s">
        <v>255</v>
      </c>
      <c r="G56" t="s">
        <v>255</v>
      </c>
      <c r="H56" t="s">
        <v>256</v>
      </c>
      <c r="I56" t="s">
        <v>255</v>
      </c>
      <c r="J56" t="s">
        <v>256</v>
      </c>
      <c r="K56" t="s">
        <v>255</v>
      </c>
      <c r="L56" t="s">
        <v>256</v>
      </c>
      <c r="M56">
        <v>1368</v>
      </c>
      <c r="N56">
        <v>3447</v>
      </c>
      <c r="O56">
        <v>4535</v>
      </c>
      <c r="P56">
        <v>5476</v>
      </c>
      <c r="Q56">
        <v>9983</v>
      </c>
      <c r="R56" s="3">
        <v>0.48810986163702852</v>
      </c>
      <c r="S56" t="s">
        <v>30</v>
      </c>
      <c r="T56">
        <f t="shared" si="0"/>
        <v>24809</v>
      </c>
      <c r="AH56">
        <v>16773</v>
      </c>
    </row>
    <row r="57" spans="1:34" x14ac:dyDescent="0.3">
      <c r="A57" t="s">
        <v>32</v>
      </c>
      <c r="B57" t="s">
        <v>154</v>
      </c>
      <c r="C57" t="s">
        <v>92</v>
      </c>
      <c r="D57" t="s">
        <v>214</v>
      </c>
      <c r="E57" t="s">
        <v>252</v>
      </c>
      <c r="F57" t="s">
        <v>255</v>
      </c>
      <c r="G57" t="s">
        <v>255</v>
      </c>
      <c r="H57" t="s">
        <v>256</v>
      </c>
      <c r="I57" t="s">
        <v>255</v>
      </c>
      <c r="J57" t="s">
        <v>255</v>
      </c>
      <c r="K57" t="s">
        <v>255</v>
      </c>
      <c r="L57" t="s">
        <v>256</v>
      </c>
      <c r="M57">
        <v>1779</v>
      </c>
      <c r="N57">
        <v>2124</v>
      </c>
      <c r="O57">
        <v>2844</v>
      </c>
      <c r="P57">
        <v>6877</v>
      </c>
      <c r="Q57">
        <v>9570</v>
      </c>
      <c r="R57" s="3">
        <v>0.40006177319181924</v>
      </c>
      <c r="S57" t="s">
        <v>32</v>
      </c>
      <c r="T57">
        <f t="shared" si="0"/>
        <v>23194</v>
      </c>
      <c r="AH57">
        <v>25995</v>
      </c>
    </row>
    <row r="58" spans="1:34" x14ac:dyDescent="0.3">
      <c r="A58" t="s">
        <v>24</v>
      </c>
      <c r="B58" t="s">
        <v>146</v>
      </c>
      <c r="C58" t="s">
        <v>84</v>
      </c>
      <c r="D58" t="s">
        <v>206</v>
      </c>
      <c r="E58" t="s">
        <v>252</v>
      </c>
      <c r="F58" t="s">
        <v>255</v>
      </c>
      <c r="G58" t="s">
        <v>255</v>
      </c>
      <c r="H58" t="s">
        <v>256</v>
      </c>
      <c r="I58" t="s">
        <v>256</v>
      </c>
      <c r="J58" t="s">
        <v>256</v>
      </c>
      <c r="K58" t="s">
        <v>256</v>
      </c>
      <c r="L58" t="s">
        <v>256</v>
      </c>
      <c r="M58">
        <v>3501</v>
      </c>
      <c r="N58">
        <v>7079</v>
      </c>
      <c r="O58">
        <v>7438</v>
      </c>
      <c r="P58">
        <v>7443</v>
      </c>
      <c r="Q58">
        <v>9225</v>
      </c>
      <c r="R58" s="3">
        <v>0.2138215756945514</v>
      </c>
      <c r="S58" t="s">
        <v>24</v>
      </c>
      <c r="T58">
        <f t="shared" si="0"/>
        <v>34686</v>
      </c>
      <c r="AH58">
        <v>26484</v>
      </c>
    </row>
    <row r="59" spans="1:34" x14ac:dyDescent="0.3">
      <c r="A59" t="s">
        <v>38</v>
      </c>
      <c r="B59" t="s">
        <v>160</v>
      </c>
      <c r="C59" t="s">
        <v>98</v>
      </c>
      <c r="D59" t="s">
        <v>220</v>
      </c>
      <c r="E59" t="s">
        <v>252</v>
      </c>
      <c r="F59" t="s">
        <v>255</v>
      </c>
      <c r="G59" t="s">
        <v>255</v>
      </c>
      <c r="H59" t="s">
        <v>256</v>
      </c>
      <c r="I59" t="s">
        <v>256</v>
      </c>
      <c r="J59" t="s">
        <v>256</v>
      </c>
      <c r="K59" t="s">
        <v>256</v>
      </c>
      <c r="L59" t="s">
        <v>256</v>
      </c>
      <c r="M59">
        <v>2390</v>
      </c>
      <c r="N59">
        <v>2415</v>
      </c>
      <c r="O59">
        <v>3461</v>
      </c>
      <c r="P59">
        <v>3850</v>
      </c>
      <c r="Q59">
        <v>4657</v>
      </c>
      <c r="R59" s="3">
        <v>0.14272483850088946</v>
      </c>
      <c r="S59" t="s">
        <v>38</v>
      </c>
      <c r="T59">
        <f t="shared" si="0"/>
        <v>16773</v>
      </c>
      <c r="AH59">
        <v>39413</v>
      </c>
    </row>
    <row r="60" spans="1:34" x14ac:dyDescent="0.3">
      <c r="A60" t="s">
        <v>25</v>
      </c>
      <c r="B60" t="s">
        <v>147</v>
      </c>
      <c r="C60" t="s">
        <v>85</v>
      </c>
      <c r="D60" t="s">
        <v>207</v>
      </c>
      <c r="E60" t="s">
        <v>252</v>
      </c>
      <c r="F60" t="s">
        <v>255</v>
      </c>
      <c r="G60" t="s">
        <v>255</v>
      </c>
      <c r="H60" t="s">
        <v>256</v>
      </c>
      <c r="I60" t="s">
        <v>256</v>
      </c>
      <c r="J60" t="s">
        <v>256</v>
      </c>
      <c r="K60" t="s">
        <v>256</v>
      </c>
      <c r="L60" t="s">
        <v>256</v>
      </c>
      <c r="M60">
        <v>3916</v>
      </c>
      <c r="N60">
        <v>4218</v>
      </c>
      <c r="O60">
        <v>5072</v>
      </c>
      <c r="P60">
        <v>5201</v>
      </c>
      <c r="Q60">
        <v>7588</v>
      </c>
      <c r="R60" s="3">
        <v>0.14145009299098632</v>
      </c>
      <c r="S60" t="s">
        <v>25</v>
      </c>
      <c r="T60">
        <f t="shared" si="0"/>
        <v>25995</v>
      </c>
      <c r="AH60">
        <v>20785</v>
      </c>
    </row>
    <row r="61" spans="1:34" x14ac:dyDescent="0.3">
      <c r="A61" t="s">
        <v>36</v>
      </c>
      <c r="B61" t="s">
        <v>158</v>
      </c>
      <c r="C61" t="s">
        <v>96</v>
      </c>
      <c r="D61" t="s">
        <v>218</v>
      </c>
      <c r="E61" t="s">
        <v>252</v>
      </c>
      <c r="F61" t="s">
        <v>255</v>
      </c>
      <c r="G61" t="s">
        <v>255</v>
      </c>
      <c r="H61" t="s">
        <v>256</v>
      </c>
      <c r="I61" t="s">
        <v>256</v>
      </c>
      <c r="J61" t="s">
        <v>256</v>
      </c>
      <c r="K61" t="s">
        <v>256</v>
      </c>
      <c r="L61" t="s">
        <v>256</v>
      </c>
      <c r="M61">
        <v>6309</v>
      </c>
      <c r="N61">
        <v>6227</v>
      </c>
      <c r="O61">
        <v>5123</v>
      </c>
      <c r="P61">
        <v>4968</v>
      </c>
      <c r="Q61">
        <v>3857</v>
      </c>
      <c r="R61" s="3">
        <v>-9.372954427409963E-2</v>
      </c>
      <c r="S61" t="s">
        <v>36</v>
      </c>
      <c r="T61">
        <f t="shared" si="0"/>
        <v>26484</v>
      </c>
      <c r="AH61">
        <v>24323</v>
      </c>
    </row>
    <row r="62" spans="1:34" x14ac:dyDescent="0.3">
      <c r="A62" t="s">
        <v>27</v>
      </c>
      <c r="B62" t="s">
        <v>149</v>
      </c>
      <c r="C62" t="s">
        <v>87</v>
      </c>
      <c r="D62" t="s">
        <v>209</v>
      </c>
      <c r="E62" t="s">
        <v>252</v>
      </c>
      <c r="F62" t="s">
        <v>255</v>
      </c>
      <c r="G62" t="s">
        <v>255</v>
      </c>
      <c r="H62" t="s">
        <v>256</v>
      </c>
      <c r="I62" t="s">
        <v>256</v>
      </c>
      <c r="J62" t="s">
        <v>256</v>
      </c>
      <c r="K62" t="s">
        <v>256</v>
      </c>
      <c r="L62" t="s">
        <v>256</v>
      </c>
      <c r="M62">
        <v>9773</v>
      </c>
      <c r="N62">
        <v>9179</v>
      </c>
      <c r="O62">
        <v>8390</v>
      </c>
      <c r="P62">
        <v>8256</v>
      </c>
      <c r="Q62">
        <v>3815</v>
      </c>
      <c r="R62" s="3">
        <v>-0.17149844341981002</v>
      </c>
      <c r="S62" t="s">
        <v>27</v>
      </c>
      <c r="T62">
        <f t="shared" si="0"/>
        <v>39413</v>
      </c>
    </row>
    <row r="63" spans="1:34" x14ac:dyDescent="0.3">
      <c r="A63" t="s">
        <v>34</v>
      </c>
      <c r="B63" t="s">
        <v>156</v>
      </c>
      <c r="C63" t="s">
        <v>94</v>
      </c>
      <c r="D63" t="s">
        <v>216</v>
      </c>
      <c r="E63" t="s">
        <v>252</v>
      </c>
      <c r="F63" t="s">
        <v>255</v>
      </c>
      <c r="G63" t="s">
        <v>256</v>
      </c>
      <c r="H63" t="s">
        <v>256</v>
      </c>
      <c r="I63" t="s">
        <v>256</v>
      </c>
      <c r="J63" t="s">
        <v>255</v>
      </c>
      <c r="K63" t="s">
        <v>256</v>
      </c>
      <c r="L63" t="s">
        <v>256</v>
      </c>
      <c r="M63">
        <v>6156</v>
      </c>
      <c r="N63">
        <v>6110</v>
      </c>
      <c r="O63">
        <v>5791</v>
      </c>
      <c r="P63">
        <v>1759</v>
      </c>
      <c r="Q63">
        <v>969</v>
      </c>
      <c r="R63" s="3">
        <v>-0.30911616212185844</v>
      </c>
      <c r="S63" t="s">
        <v>34</v>
      </c>
      <c r="T63">
        <f t="shared" si="0"/>
        <v>20785</v>
      </c>
    </row>
    <row r="64" spans="1:34" x14ac:dyDescent="0.3">
      <c r="A64" t="s">
        <v>31</v>
      </c>
      <c r="B64" t="s">
        <v>153</v>
      </c>
      <c r="C64" t="s">
        <v>91</v>
      </c>
      <c r="D64" t="s">
        <v>213</v>
      </c>
      <c r="E64" t="s">
        <v>252</v>
      </c>
      <c r="F64" t="s">
        <v>255</v>
      </c>
      <c r="G64" t="s">
        <v>256</v>
      </c>
      <c r="H64" t="s">
        <v>256</v>
      </c>
      <c r="I64" t="s">
        <v>256</v>
      </c>
      <c r="J64" t="s">
        <v>255</v>
      </c>
      <c r="K64" t="s">
        <v>256</v>
      </c>
      <c r="L64" t="s">
        <v>256</v>
      </c>
      <c r="M64">
        <v>8331</v>
      </c>
      <c r="N64">
        <v>7667</v>
      </c>
      <c r="O64">
        <v>5952</v>
      </c>
      <c r="P64">
        <v>1998</v>
      </c>
      <c r="Q64">
        <v>375</v>
      </c>
      <c r="R64" s="3">
        <v>-0.4621429981676064</v>
      </c>
      <c r="S64" t="s">
        <v>31</v>
      </c>
      <c r="T64">
        <f t="shared" si="0"/>
        <v>24323</v>
      </c>
    </row>
  </sheetData>
  <sortState xmlns:xlrd2="http://schemas.microsoft.com/office/spreadsheetml/2017/richdata2" columnSort="1" ref="M64:Q64">
    <sortCondition ref="M64:Q64"/>
  </sortState>
  <mergeCells count="5">
    <mergeCell ref="I3:L3"/>
    <mergeCell ref="M3:Q3"/>
    <mergeCell ref="F3:H3"/>
    <mergeCell ref="U3:V3"/>
    <mergeCell ref="W3:X3"/>
  </mergeCells>
  <phoneticPr fontId="3" type="noConversion"/>
  <pageMargins left="0.7" right="0.7" top="0.75" bottom="0.75" header="0.3" footer="0.3"/>
  <pageSetup orientation="portrait" verticalDpi="0" r:id="rId1"/>
  <ignoredErrors>
    <ignoredError sqref="T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AB7B-A34C-4043-8FDE-8F85CA578FE7}">
  <dimension ref="A1:H62"/>
  <sheetViews>
    <sheetView workbookViewId="0">
      <selection activeCell="A2" sqref="A2:D2"/>
    </sheetView>
  </sheetViews>
  <sheetFormatPr defaultColWidth="16" defaultRowHeight="14.4" x14ac:dyDescent="0.3"/>
  <cols>
    <col min="7" max="7" width="12.5546875" bestFit="1" customWidth="1"/>
    <col min="8" max="8" width="16.109375" bestFit="1" customWidth="1"/>
    <col min="9" max="9" width="8" bestFit="1" customWidth="1"/>
    <col min="10" max="10" width="10.77734375" bestFit="1" customWidth="1"/>
  </cols>
  <sheetData>
    <row r="1" spans="1:8" x14ac:dyDescent="0.3">
      <c r="A1" s="6" t="s">
        <v>4</v>
      </c>
      <c r="B1" s="7"/>
      <c r="C1" s="7"/>
      <c r="D1" s="7"/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t="s">
        <v>280</v>
      </c>
      <c r="G2" s="4" t="s">
        <v>263</v>
      </c>
      <c r="H2" t="s">
        <v>282</v>
      </c>
    </row>
    <row r="3" spans="1:8" x14ac:dyDescent="0.3">
      <c r="A3" t="s">
        <v>255</v>
      </c>
      <c r="B3" t="s">
        <v>255</v>
      </c>
      <c r="C3" t="s">
        <v>255</v>
      </c>
      <c r="D3" t="s">
        <v>255</v>
      </c>
      <c r="E3">
        <v>17629</v>
      </c>
      <c r="G3" s="5" t="s">
        <v>256</v>
      </c>
      <c r="H3" s="13">
        <v>450259</v>
      </c>
    </row>
    <row r="4" spans="1:8" x14ac:dyDescent="0.3">
      <c r="A4" t="s">
        <v>255</v>
      </c>
      <c r="B4" t="s">
        <v>255</v>
      </c>
      <c r="C4" t="s">
        <v>255</v>
      </c>
      <c r="D4" t="s">
        <v>255</v>
      </c>
      <c r="E4">
        <v>19766</v>
      </c>
      <c r="G4" s="15" t="s">
        <v>256</v>
      </c>
      <c r="H4" s="13">
        <v>382091</v>
      </c>
    </row>
    <row r="5" spans="1:8" x14ac:dyDescent="0.3">
      <c r="A5" t="s">
        <v>255</v>
      </c>
      <c r="B5" t="s">
        <v>255</v>
      </c>
      <c r="C5" t="s">
        <v>255</v>
      </c>
      <c r="D5" t="s">
        <v>255</v>
      </c>
      <c r="E5">
        <v>18981</v>
      </c>
      <c r="G5" s="16" t="s">
        <v>256</v>
      </c>
      <c r="H5" s="13">
        <v>336983</v>
      </c>
    </row>
    <row r="6" spans="1:8" x14ac:dyDescent="0.3">
      <c r="A6" t="s">
        <v>255</v>
      </c>
      <c r="B6" t="s">
        <v>255</v>
      </c>
      <c r="C6" t="s">
        <v>255</v>
      </c>
      <c r="D6" t="s">
        <v>255</v>
      </c>
      <c r="E6">
        <v>18447</v>
      </c>
      <c r="G6" s="17" t="s">
        <v>256</v>
      </c>
      <c r="H6" s="13">
        <v>336983</v>
      </c>
    </row>
    <row r="7" spans="1:8" x14ac:dyDescent="0.3">
      <c r="A7" t="s">
        <v>255</v>
      </c>
      <c r="B7" t="s">
        <v>256</v>
      </c>
      <c r="C7" t="s">
        <v>255</v>
      </c>
      <c r="D7" t="s">
        <v>256</v>
      </c>
      <c r="E7">
        <v>31745</v>
      </c>
      <c r="G7" s="16" t="s">
        <v>255</v>
      </c>
      <c r="H7" s="13">
        <v>45108</v>
      </c>
    </row>
    <row r="8" spans="1:8" x14ac:dyDescent="0.3">
      <c r="A8" t="s">
        <v>255</v>
      </c>
      <c r="B8" t="s">
        <v>255</v>
      </c>
      <c r="C8" t="s">
        <v>255</v>
      </c>
      <c r="D8" t="s">
        <v>255</v>
      </c>
      <c r="E8">
        <v>30734</v>
      </c>
      <c r="G8" s="17" t="s">
        <v>256</v>
      </c>
      <c r="H8" s="13">
        <v>45108</v>
      </c>
    </row>
    <row r="9" spans="1:8" x14ac:dyDescent="0.3">
      <c r="A9" t="s">
        <v>255</v>
      </c>
      <c r="B9" t="s">
        <v>255</v>
      </c>
      <c r="C9" t="s">
        <v>255</v>
      </c>
      <c r="D9" t="s">
        <v>255</v>
      </c>
      <c r="E9">
        <v>16319</v>
      </c>
      <c r="G9" s="15" t="s">
        <v>255</v>
      </c>
      <c r="H9" s="13">
        <v>68168</v>
      </c>
    </row>
    <row r="10" spans="1:8" x14ac:dyDescent="0.3">
      <c r="A10" t="s">
        <v>255</v>
      </c>
      <c r="B10" t="s">
        <v>256</v>
      </c>
      <c r="C10" t="s">
        <v>255</v>
      </c>
      <c r="D10" t="s">
        <v>256</v>
      </c>
      <c r="E10">
        <v>16060</v>
      </c>
      <c r="G10" s="16" t="s">
        <v>256</v>
      </c>
      <c r="H10" s="13">
        <v>37718</v>
      </c>
    </row>
    <row r="11" spans="1:8" x14ac:dyDescent="0.3">
      <c r="A11" t="s">
        <v>256</v>
      </c>
      <c r="B11" t="s">
        <v>255</v>
      </c>
      <c r="C11" t="s">
        <v>255</v>
      </c>
      <c r="D11" t="s">
        <v>256</v>
      </c>
      <c r="E11">
        <v>32872</v>
      </c>
      <c r="G11" s="17" t="s">
        <v>256</v>
      </c>
      <c r="H11" s="13">
        <v>37718</v>
      </c>
    </row>
    <row r="12" spans="1:8" x14ac:dyDescent="0.3">
      <c r="A12" t="s">
        <v>256</v>
      </c>
      <c r="B12" t="s">
        <v>256</v>
      </c>
      <c r="C12" t="s">
        <v>256</v>
      </c>
      <c r="D12" t="s">
        <v>256</v>
      </c>
      <c r="E12">
        <v>17938</v>
      </c>
      <c r="G12" s="16" t="s">
        <v>255</v>
      </c>
      <c r="H12" s="13">
        <v>30450</v>
      </c>
    </row>
    <row r="13" spans="1:8" x14ac:dyDescent="0.3">
      <c r="A13" t="s">
        <v>256</v>
      </c>
      <c r="B13" t="s">
        <v>255</v>
      </c>
      <c r="C13" t="s">
        <v>255</v>
      </c>
      <c r="D13" t="s">
        <v>255</v>
      </c>
      <c r="E13">
        <v>23830</v>
      </c>
      <c r="G13" s="17" t="s">
        <v>256</v>
      </c>
      <c r="H13" s="13">
        <v>30450</v>
      </c>
    </row>
    <row r="14" spans="1:8" x14ac:dyDescent="0.3">
      <c r="A14" t="s">
        <v>256</v>
      </c>
      <c r="B14" t="s">
        <v>256</v>
      </c>
      <c r="C14" t="s">
        <v>256</v>
      </c>
      <c r="D14" t="s">
        <v>256</v>
      </c>
      <c r="E14">
        <v>25089</v>
      </c>
      <c r="G14" s="5" t="s">
        <v>255</v>
      </c>
      <c r="H14" s="13">
        <v>1030589</v>
      </c>
    </row>
    <row r="15" spans="1:8" x14ac:dyDescent="0.3">
      <c r="A15" t="s">
        <v>256</v>
      </c>
      <c r="B15" t="s">
        <v>256</v>
      </c>
      <c r="C15" t="s">
        <v>255</v>
      </c>
      <c r="D15" t="s">
        <v>256</v>
      </c>
      <c r="E15">
        <v>30946</v>
      </c>
      <c r="G15" s="15" t="s">
        <v>256</v>
      </c>
      <c r="H15" s="13">
        <v>497300</v>
      </c>
    </row>
    <row r="16" spans="1:8" x14ac:dyDescent="0.3">
      <c r="A16" t="s">
        <v>256</v>
      </c>
      <c r="B16" t="s">
        <v>256</v>
      </c>
      <c r="C16" t="s">
        <v>256</v>
      </c>
      <c r="D16" t="s">
        <v>256</v>
      </c>
      <c r="E16">
        <v>23066</v>
      </c>
      <c r="G16" s="16" t="s">
        <v>256</v>
      </c>
      <c r="H16" s="13">
        <v>440598</v>
      </c>
    </row>
    <row r="17" spans="1:8" x14ac:dyDescent="0.3">
      <c r="A17" t="s">
        <v>256</v>
      </c>
      <c r="B17" t="s">
        <v>256</v>
      </c>
      <c r="C17" t="s">
        <v>255</v>
      </c>
      <c r="D17" t="s">
        <v>256</v>
      </c>
      <c r="E17">
        <v>19401</v>
      </c>
      <c r="G17" s="17" t="s">
        <v>256</v>
      </c>
      <c r="H17" s="13">
        <v>296700</v>
      </c>
    </row>
    <row r="18" spans="1:8" x14ac:dyDescent="0.3">
      <c r="A18" t="s">
        <v>255</v>
      </c>
      <c r="B18" t="s">
        <v>255</v>
      </c>
      <c r="C18" t="s">
        <v>255</v>
      </c>
      <c r="D18" t="s">
        <v>256</v>
      </c>
      <c r="E18">
        <v>24084</v>
      </c>
      <c r="G18" s="17" t="s">
        <v>255</v>
      </c>
      <c r="H18" s="13">
        <v>143898</v>
      </c>
    </row>
    <row r="19" spans="1:8" x14ac:dyDescent="0.3">
      <c r="A19" t="s">
        <v>255</v>
      </c>
      <c r="B19" t="s">
        <v>255</v>
      </c>
      <c r="C19" t="s">
        <v>255</v>
      </c>
      <c r="D19" t="s">
        <v>255</v>
      </c>
      <c r="E19">
        <v>20019</v>
      </c>
      <c r="G19" s="16" t="s">
        <v>255</v>
      </c>
      <c r="H19" s="13">
        <v>56702</v>
      </c>
    </row>
    <row r="20" spans="1:8" x14ac:dyDescent="0.3">
      <c r="A20" t="s">
        <v>255</v>
      </c>
      <c r="B20" t="s">
        <v>255</v>
      </c>
      <c r="C20" t="s">
        <v>256</v>
      </c>
      <c r="D20" t="s">
        <v>256</v>
      </c>
      <c r="E20">
        <v>30450</v>
      </c>
      <c r="G20" s="17" t="s">
        <v>256</v>
      </c>
      <c r="H20" s="13">
        <v>32872</v>
      </c>
    </row>
    <row r="21" spans="1:8" x14ac:dyDescent="0.3">
      <c r="A21" t="s">
        <v>255</v>
      </c>
      <c r="B21" t="s">
        <v>255</v>
      </c>
      <c r="C21" t="s">
        <v>255</v>
      </c>
      <c r="D21" t="s">
        <v>255</v>
      </c>
      <c r="E21">
        <v>28665</v>
      </c>
      <c r="G21" s="17" t="s">
        <v>255</v>
      </c>
      <c r="H21" s="13">
        <v>23830</v>
      </c>
    </row>
    <row r="22" spans="1:8" x14ac:dyDescent="0.3">
      <c r="A22" t="s">
        <v>255</v>
      </c>
      <c r="B22" t="s">
        <v>255</v>
      </c>
      <c r="C22" t="s">
        <v>255</v>
      </c>
      <c r="D22" t="s">
        <v>255</v>
      </c>
      <c r="E22">
        <v>27558</v>
      </c>
      <c r="G22" s="15" t="s">
        <v>255</v>
      </c>
      <c r="H22" s="13">
        <v>533289</v>
      </c>
    </row>
    <row r="23" spans="1:8" x14ac:dyDescent="0.3">
      <c r="A23" t="s">
        <v>255</v>
      </c>
      <c r="B23" t="s">
        <v>255</v>
      </c>
      <c r="C23" t="s">
        <v>255</v>
      </c>
      <c r="D23" t="s">
        <v>255</v>
      </c>
      <c r="E23">
        <v>23773</v>
      </c>
      <c r="G23" s="16" t="s">
        <v>256</v>
      </c>
      <c r="H23" s="13">
        <v>195253</v>
      </c>
    </row>
    <row r="24" spans="1:8" x14ac:dyDescent="0.3">
      <c r="A24" t="s">
        <v>255</v>
      </c>
      <c r="B24" t="s">
        <v>255</v>
      </c>
      <c r="C24" t="s">
        <v>255</v>
      </c>
      <c r="D24" t="s">
        <v>255</v>
      </c>
      <c r="E24">
        <v>22203</v>
      </c>
      <c r="G24" s="17" t="s">
        <v>256</v>
      </c>
      <c r="H24" s="13">
        <v>195253</v>
      </c>
    </row>
    <row r="25" spans="1:8" x14ac:dyDescent="0.3">
      <c r="A25" t="s">
        <v>255</v>
      </c>
      <c r="B25" t="s">
        <v>256</v>
      </c>
      <c r="C25" t="s">
        <v>256</v>
      </c>
      <c r="D25" t="s">
        <v>256</v>
      </c>
      <c r="E25">
        <v>29042</v>
      </c>
      <c r="G25" s="16" t="s">
        <v>255</v>
      </c>
      <c r="H25" s="13">
        <v>338036</v>
      </c>
    </row>
    <row r="26" spans="1:8" x14ac:dyDescent="0.3">
      <c r="A26" t="s">
        <v>256</v>
      </c>
      <c r="B26" t="s">
        <v>256</v>
      </c>
      <c r="C26" t="s">
        <v>255</v>
      </c>
      <c r="D26" t="s">
        <v>255</v>
      </c>
      <c r="E26">
        <v>28460</v>
      </c>
      <c r="G26" s="17" t="s">
        <v>256</v>
      </c>
      <c r="H26" s="13">
        <v>93942</v>
      </c>
    </row>
    <row r="27" spans="1:8" x14ac:dyDescent="0.3">
      <c r="A27" t="s">
        <v>256</v>
      </c>
      <c r="B27" t="s">
        <v>256</v>
      </c>
      <c r="C27" t="s">
        <v>255</v>
      </c>
      <c r="D27" t="s">
        <v>256</v>
      </c>
      <c r="E27">
        <v>28630</v>
      </c>
      <c r="G27" s="17" t="s">
        <v>255</v>
      </c>
      <c r="H27" s="13">
        <v>244094</v>
      </c>
    </row>
    <row r="28" spans="1:8" x14ac:dyDescent="0.3">
      <c r="A28" t="s">
        <v>256</v>
      </c>
      <c r="B28" t="s">
        <v>256</v>
      </c>
      <c r="C28" t="s">
        <v>255</v>
      </c>
      <c r="D28" t="s">
        <v>255</v>
      </c>
      <c r="E28">
        <v>31127</v>
      </c>
      <c r="G28" s="5" t="s">
        <v>264</v>
      </c>
      <c r="H28" s="13">
        <v>1480848</v>
      </c>
    </row>
    <row r="29" spans="1:8" x14ac:dyDescent="0.3">
      <c r="A29" t="s">
        <v>256</v>
      </c>
      <c r="B29" t="s">
        <v>256</v>
      </c>
      <c r="C29" t="s">
        <v>255</v>
      </c>
      <c r="D29" t="s">
        <v>255</v>
      </c>
      <c r="E29">
        <v>39331</v>
      </c>
    </row>
    <row r="30" spans="1:8" x14ac:dyDescent="0.3">
      <c r="A30" t="s">
        <v>256</v>
      </c>
      <c r="B30" t="s">
        <v>256</v>
      </c>
      <c r="C30" t="s">
        <v>256</v>
      </c>
      <c r="D30" t="s">
        <v>256</v>
      </c>
      <c r="E30">
        <v>30193</v>
      </c>
    </row>
    <row r="31" spans="1:8" x14ac:dyDescent="0.3">
      <c r="A31" t="s">
        <v>256</v>
      </c>
      <c r="B31" t="s">
        <v>256</v>
      </c>
      <c r="C31" t="s">
        <v>255</v>
      </c>
      <c r="D31" t="s">
        <v>255</v>
      </c>
      <c r="E31">
        <v>21927</v>
      </c>
    </row>
    <row r="32" spans="1:8" x14ac:dyDescent="0.3">
      <c r="A32" t="s">
        <v>256</v>
      </c>
      <c r="B32" t="s">
        <v>256</v>
      </c>
      <c r="C32" t="s">
        <v>255</v>
      </c>
      <c r="D32" t="s">
        <v>255</v>
      </c>
      <c r="E32">
        <v>23053</v>
      </c>
    </row>
    <row r="33" spans="1:5" x14ac:dyDescent="0.3">
      <c r="A33" t="s">
        <v>255</v>
      </c>
      <c r="B33" t="s">
        <v>256</v>
      </c>
      <c r="C33" t="s">
        <v>256</v>
      </c>
      <c r="D33" t="s">
        <v>256</v>
      </c>
      <c r="E33">
        <v>8676</v>
      </c>
    </row>
    <row r="34" spans="1:5" x14ac:dyDescent="0.3">
      <c r="A34" t="s">
        <v>255</v>
      </c>
      <c r="B34" t="s">
        <v>256</v>
      </c>
      <c r="C34" t="s">
        <v>255</v>
      </c>
      <c r="D34" t="s">
        <v>256</v>
      </c>
      <c r="E34">
        <v>25197</v>
      </c>
    </row>
    <row r="35" spans="1:5" x14ac:dyDescent="0.3">
      <c r="A35" t="s">
        <v>256</v>
      </c>
      <c r="B35" t="s">
        <v>256</v>
      </c>
      <c r="C35" t="s">
        <v>255</v>
      </c>
      <c r="D35" t="s">
        <v>256</v>
      </c>
      <c r="E35">
        <v>29285</v>
      </c>
    </row>
    <row r="36" spans="1:5" x14ac:dyDescent="0.3">
      <c r="A36" t="s">
        <v>256</v>
      </c>
      <c r="B36" t="s">
        <v>256</v>
      </c>
      <c r="C36" t="s">
        <v>255</v>
      </c>
      <c r="D36" t="s">
        <v>256</v>
      </c>
      <c r="E36">
        <v>17038</v>
      </c>
    </row>
    <row r="37" spans="1:5" x14ac:dyDescent="0.3">
      <c r="A37" t="s">
        <v>256</v>
      </c>
      <c r="B37" t="s">
        <v>256</v>
      </c>
      <c r="C37" t="s">
        <v>255</v>
      </c>
      <c r="D37" t="s">
        <v>256</v>
      </c>
      <c r="E37">
        <v>28608</v>
      </c>
    </row>
    <row r="38" spans="1:5" x14ac:dyDescent="0.3">
      <c r="A38" t="s">
        <v>256</v>
      </c>
      <c r="B38" t="s">
        <v>256</v>
      </c>
      <c r="C38" t="s">
        <v>256</v>
      </c>
      <c r="D38" t="s">
        <v>256</v>
      </c>
      <c r="E38">
        <v>29730</v>
      </c>
    </row>
    <row r="39" spans="1:5" x14ac:dyDescent="0.3">
      <c r="A39" t="s">
        <v>256</v>
      </c>
      <c r="B39" t="s">
        <v>256</v>
      </c>
      <c r="C39" t="s">
        <v>256</v>
      </c>
      <c r="D39" t="s">
        <v>256</v>
      </c>
      <c r="E39">
        <v>22328</v>
      </c>
    </row>
    <row r="40" spans="1:5" x14ac:dyDescent="0.3">
      <c r="A40" t="s">
        <v>256</v>
      </c>
      <c r="B40" t="s">
        <v>256</v>
      </c>
      <c r="C40" t="s">
        <v>255</v>
      </c>
      <c r="D40" t="s">
        <v>256</v>
      </c>
      <c r="E40">
        <v>26867</v>
      </c>
    </row>
    <row r="41" spans="1:5" x14ac:dyDescent="0.3">
      <c r="A41" t="s">
        <v>256</v>
      </c>
      <c r="B41" t="s">
        <v>256</v>
      </c>
      <c r="C41" t="s">
        <v>255</v>
      </c>
      <c r="D41" t="s">
        <v>256</v>
      </c>
      <c r="E41">
        <v>21609</v>
      </c>
    </row>
    <row r="42" spans="1:5" x14ac:dyDescent="0.3">
      <c r="A42" t="s">
        <v>256</v>
      </c>
      <c r="B42" t="s">
        <v>256</v>
      </c>
      <c r="C42" t="s">
        <v>256</v>
      </c>
      <c r="D42" t="s">
        <v>256</v>
      </c>
      <c r="E42">
        <v>21461</v>
      </c>
    </row>
    <row r="43" spans="1:5" x14ac:dyDescent="0.3">
      <c r="A43" t="s">
        <v>256</v>
      </c>
      <c r="B43" t="s">
        <v>256</v>
      </c>
      <c r="C43" t="s">
        <v>255</v>
      </c>
      <c r="D43" t="s">
        <v>256</v>
      </c>
      <c r="E43">
        <v>27508</v>
      </c>
    </row>
    <row r="44" spans="1:5" x14ac:dyDescent="0.3">
      <c r="A44" t="s">
        <v>256</v>
      </c>
      <c r="B44" t="s">
        <v>256</v>
      </c>
      <c r="C44" t="s">
        <v>255</v>
      </c>
      <c r="D44" t="s">
        <v>256</v>
      </c>
      <c r="E44">
        <v>36951</v>
      </c>
    </row>
    <row r="45" spans="1:5" x14ac:dyDescent="0.3">
      <c r="A45" t="s">
        <v>256</v>
      </c>
      <c r="B45" t="s">
        <v>256</v>
      </c>
      <c r="C45" t="s">
        <v>256</v>
      </c>
      <c r="D45" t="s">
        <v>256</v>
      </c>
      <c r="E45">
        <v>23827</v>
      </c>
    </row>
    <row r="46" spans="1:5" x14ac:dyDescent="0.3">
      <c r="A46" t="s">
        <v>256</v>
      </c>
      <c r="B46" t="s">
        <v>256</v>
      </c>
      <c r="C46" t="s">
        <v>255</v>
      </c>
      <c r="D46" t="s">
        <v>256</v>
      </c>
      <c r="E46">
        <v>19283</v>
      </c>
    </row>
    <row r="47" spans="1:5" x14ac:dyDescent="0.3">
      <c r="A47" t="s">
        <v>256</v>
      </c>
      <c r="B47" t="s">
        <v>256</v>
      </c>
      <c r="C47" t="s">
        <v>255</v>
      </c>
      <c r="D47" t="s">
        <v>256</v>
      </c>
      <c r="E47">
        <v>10574</v>
      </c>
    </row>
    <row r="48" spans="1:5" x14ac:dyDescent="0.3">
      <c r="A48" t="s">
        <v>255</v>
      </c>
      <c r="B48" t="s">
        <v>256</v>
      </c>
      <c r="C48" t="s">
        <v>255</v>
      </c>
      <c r="D48" t="s">
        <v>256</v>
      </c>
      <c r="E48">
        <v>21393</v>
      </c>
    </row>
    <row r="49" spans="1:5" x14ac:dyDescent="0.3">
      <c r="A49" t="s">
        <v>255</v>
      </c>
      <c r="B49" t="s">
        <v>255</v>
      </c>
      <c r="C49" t="s">
        <v>255</v>
      </c>
      <c r="D49" t="s">
        <v>256</v>
      </c>
      <c r="E49">
        <v>19479</v>
      </c>
    </row>
    <row r="50" spans="1:5" x14ac:dyDescent="0.3">
      <c r="A50" t="s">
        <v>255</v>
      </c>
      <c r="B50" t="s">
        <v>256</v>
      </c>
      <c r="C50" t="s">
        <v>255</v>
      </c>
      <c r="D50" t="s">
        <v>256</v>
      </c>
      <c r="E50">
        <v>18576</v>
      </c>
    </row>
    <row r="51" spans="1:5" x14ac:dyDescent="0.3">
      <c r="A51" t="s">
        <v>255</v>
      </c>
      <c r="B51" t="s">
        <v>255</v>
      </c>
      <c r="C51" t="s">
        <v>255</v>
      </c>
      <c r="D51" t="s">
        <v>256</v>
      </c>
      <c r="E51">
        <v>27185</v>
      </c>
    </row>
    <row r="52" spans="1:5" x14ac:dyDescent="0.3">
      <c r="A52" t="s">
        <v>255</v>
      </c>
      <c r="B52" t="s">
        <v>256</v>
      </c>
      <c r="C52" t="s">
        <v>255</v>
      </c>
      <c r="D52" t="s">
        <v>256</v>
      </c>
      <c r="E52">
        <v>30399</v>
      </c>
    </row>
    <row r="53" spans="1:5" x14ac:dyDescent="0.3">
      <c r="A53" t="s">
        <v>255</v>
      </c>
      <c r="B53" t="s">
        <v>256</v>
      </c>
      <c r="C53" t="s">
        <v>255</v>
      </c>
      <c r="D53" t="s">
        <v>256</v>
      </c>
      <c r="E53">
        <v>27074</v>
      </c>
    </row>
    <row r="54" spans="1:5" x14ac:dyDescent="0.3">
      <c r="A54" t="s">
        <v>255</v>
      </c>
      <c r="B54" t="s">
        <v>256</v>
      </c>
      <c r="C54" t="s">
        <v>255</v>
      </c>
      <c r="D54" t="s">
        <v>256</v>
      </c>
      <c r="E54">
        <v>24809</v>
      </c>
    </row>
    <row r="55" spans="1:5" x14ac:dyDescent="0.3">
      <c r="A55" t="s">
        <v>255</v>
      </c>
      <c r="B55" t="s">
        <v>255</v>
      </c>
      <c r="C55" t="s">
        <v>255</v>
      </c>
      <c r="D55" t="s">
        <v>256</v>
      </c>
      <c r="E55">
        <v>23194</v>
      </c>
    </row>
    <row r="56" spans="1:5" x14ac:dyDescent="0.3">
      <c r="A56" t="s">
        <v>256</v>
      </c>
      <c r="B56" t="s">
        <v>256</v>
      </c>
      <c r="C56" t="s">
        <v>256</v>
      </c>
      <c r="D56" t="s">
        <v>256</v>
      </c>
      <c r="E56">
        <v>34686</v>
      </c>
    </row>
    <row r="57" spans="1:5" x14ac:dyDescent="0.3">
      <c r="A57" t="s">
        <v>256</v>
      </c>
      <c r="B57" t="s">
        <v>256</v>
      </c>
      <c r="C57" t="s">
        <v>256</v>
      </c>
      <c r="D57" t="s">
        <v>256</v>
      </c>
      <c r="E57">
        <v>16773</v>
      </c>
    </row>
    <row r="58" spans="1:5" x14ac:dyDescent="0.3">
      <c r="A58" t="s">
        <v>256</v>
      </c>
      <c r="B58" t="s">
        <v>256</v>
      </c>
      <c r="C58" t="s">
        <v>256</v>
      </c>
      <c r="D58" t="s">
        <v>256</v>
      </c>
      <c r="E58">
        <v>25995</v>
      </c>
    </row>
    <row r="59" spans="1:5" x14ac:dyDescent="0.3">
      <c r="A59" t="s">
        <v>256</v>
      </c>
      <c r="B59" t="s">
        <v>256</v>
      </c>
      <c r="C59" t="s">
        <v>256</v>
      </c>
      <c r="D59" t="s">
        <v>256</v>
      </c>
      <c r="E59">
        <v>26484</v>
      </c>
    </row>
    <row r="60" spans="1:5" x14ac:dyDescent="0.3">
      <c r="A60" t="s">
        <v>256</v>
      </c>
      <c r="B60" t="s">
        <v>256</v>
      </c>
      <c r="C60" t="s">
        <v>256</v>
      </c>
      <c r="D60" t="s">
        <v>256</v>
      </c>
      <c r="E60">
        <v>39413</v>
      </c>
    </row>
    <row r="61" spans="1:5" x14ac:dyDescent="0.3">
      <c r="A61" t="s">
        <v>256</v>
      </c>
      <c r="B61" t="s">
        <v>255</v>
      </c>
      <c r="C61" t="s">
        <v>256</v>
      </c>
      <c r="D61" t="s">
        <v>256</v>
      </c>
      <c r="E61">
        <v>20785</v>
      </c>
    </row>
    <row r="62" spans="1:5" x14ac:dyDescent="0.3">
      <c r="A62" t="s">
        <v>256</v>
      </c>
      <c r="B62" t="s">
        <v>255</v>
      </c>
      <c r="C62" t="s">
        <v>256</v>
      </c>
      <c r="D62" t="s">
        <v>256</v>
      </c>
      <c r="E62">
        <v>24323</v>
      </c>
    </row>
  </sheetData>
  <mergeCells count="1">
    <mergeCell ref="A1:D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B772-1869-43C0-91EB-8EF9285D3533}">
  <dimension ref="A1:F19"/>
  <sheetViews>
    <sheetView workbookViewId="0">
      <selection activeCell="R12" sqref="R12"/>
    </sheetView>
  </sheetViews>
  <sheetFormatPr defaultRowHeight="14.4" x14ac:dyDescent="0.3"/>
  <cols>
    <col min="1" max="1" width="14.33203125" customWidth="1"/>
  </cols>
  <sheetData>
    <row r="1" spans="1:6" ht="18" x14ac:dyDescent="0.35">
      <c r="A1" s="2" t="s">
        <v>140</v>
      </c>
    </row>
    <row r="3" spans="1:6" x14ac:dyDescent="0.3">
      <c r="A3" s="1"/>
      <c r="B3" s="8" t="s">
        <v>257</v>
      </c>
      <c r="C3" s="9"/>
      <c r="D3" s="9"/>
      <c r="E3" s="9"/>
      <c r="F3" s="9"/>
    </row>
    <row r="4" spans="1:6" x14ac:dyDescent="0.3">
      <c r="A4" s="1" t="s">
        <v>0</v>
      </c>
      <c r="B4" s="1">
        <v>2017</v>
      </c>
      <c r="C4" s="1">
        <v>2018</v>
      </c>
      <c r="D4" s="1">
        <v>2019</v>
      </c>
      <c r="E4" s="1">
        <v>2020</v>
      </c>
      <c r="F4" s="1">
        <v>2021</v>
      </c>
    </row>
    <row r="5" spans="1:6" x14ac:dyDescent="0.3">
      <c r="A5" t="s">
        <v>28</v>
      </c>
      <c r="B5">
        <v>73</v>
      </c>
      <c r="C5">
        <v>3485</v>
      </c>
      <c r="D5">
        <v>4592</v>
      </c>
      <c r="E5">
        <v>5143</v>
      </c>
      <c r="F5">
        <v>8100</v>
      </c>
    </row>
    <row r="6" spans="1:6" x14ac:dyDescent="0.3">
      <c r="A6" t="s">
        <v>35</v>
      </c>
      <c r="B6">
        <v>209</v>
      </c>
      <c r="C6">
        <v>621</v>
      </c>
      <c r="D6">
        <v>3098</v>
      </c>
      <c r="E6">
        <v>7118</v>
      </c>
      <c r="F6">
        <v>8433</v>
      </c>
    </row>
    <row r="7" spans="1:6" x14ac:dyDescent="0.3">
      <c r="A7" t="s">
        <v>29</v>
      </c>
      <c r="B7">
        <v>238</v>
      </c>
      <c r="C7">
        <v>1235</v>
      </c>
      <c r="D7">
        <v>1822</v>
      </c>
      <c r="E7">
        <v>7074</v>
      </c>
      <c r="F7">
        <v>8207</v>
      </c>
    </row>
    <row r="8" spans="1:6" x14ac:dyDescent="0.3">
      <c r="A8" t="s">
        <v>33</v>
      </c>
      <c r="B8">
        <v>570</v>
      </c>
      <c r="C8">
        <v>1322</v>
      </c>
      <c r="D8">
        <v>7279</v>
      </c>
      <c r="E8">
        <v>8443</v>
      </c>
      <c r="F8">
        <v>9571</v>
      </c>
    </row>
    <row r="9" spans="1:6" x14ac:dyDescent="0.3">
      <c r="A9" t="s">
        <v>26</v>
      </c>
      <c r="B9">
        <v>700</v>
      </c>
      <c r="C9">
        <v>5721</v>
      </c>
      <c r="D9">
        <v>6247</v>
      </c>
      <c r="E9">
        <v>8495</v>
      </c>
      <c r="F9">
        <v>9236</v>
      </c>
    </row>
    <row r="10" spans="1:6" x14ac:dyDescent="0.3">
      <c r="A10" t="s">
        <v>37</v>
      </c>
      <c r="B10">
        <v>712</v>
      </c>
      <c r="C10">
        <v>4182</v>
      </c>
      <c r="D10">
        <v>6087</v>
      </c>
      <c r="E10">
        <v>7494</v>
      </c>
      <c r="F10">
        <v>8599</v>
      </c>
    </row>
    <row r="11" spans="1:6" x14ac:dyDescent="0.3">
      <c r="A11" t="s">
        <v>30</v>
      </c>
      <c r="B11">
        <v>1368</v>
      </c>
      <c r="C11">
        <v>3447</v>
      </c>
      <c r="D11">
        <v>4535</v>
      </c>
      <c r="E11">
        <v>5476</v>
      </c>
      <c r="F11">
        <v>9983</v>
      </c>
    </row>
    <row r="12" spans="1:6" x14ac:dyDescent="0.3">
      <c r="A12" t="s">
        <v>32</v>
      </c>
      <c r="B12">
        <v>1779</v>
      </c>
      <c r="C12">
        <v>2124</v>
      </c>
      <c r="D12">
        <v>2844</v>
      </c>
      <c r="E12">
        <v>6877</v>
      </c>
      <c r="F12">
        <v>9570</v>
      </c>
    </row>
    <row r="13" spans="1:6" x14ac:dyDescent="0.3">
      <c r="A13" t="s">
        <v>24</v>
      </c>
      <c r="B13">
        <v>3501</v>
      </c>
      <c r="C13">
        <v>7079</v>
      </c>
      <c r="D13">
        <v>7438</v>
      </c>
      <c r="E13">
        <v>7443</v>
      </c>
      <c r="F13">
        <v>9225</v>
      </c>
    </row>
    <row r="14" spans="1:6" x14ac:dyDescent="0.3">
      <c r="A14" t="s">
        <v>38</v>
      </c>
      <c r="B14">
        <v>2390</v>
      </c>
      <c r="C14">
        <v>2415</v>
      </c>
      <c r="D14">
        <v>3461</v>
      </c>
      <c r="E14">
        <v>3850</v>
      </c>
      <c r="F14">
        <v>4657</v>
      </c>
    </row>
    <row r="15" spans="1:6" x14ac:dyDescent="0.3">
      <c r="A15" t="s">
        <v>25</v>
      </c>
      <c r="B15">
        <v>3916</v>
      </c>
      <c r="C15">
        <v>4218</v>
      </c>
      <c r="D15">
        <v>5072</v>
      </c>
      <c r="E15">
        <v>5201</v>
      </c>
      <c r="F15">
        <v>7588</v>
      </c>
    </row>
    <row r="16" spans="1:6" x14ac:dyDescent="0.3">
      <c r="A16" t="s">
        <v>36</v>
      </c>
      <c r="B16">
        <v>6309</v>
      </c>
      <c r="C16">
        <v>6227</v>
      </c>
      <c r="D16">
        <v>5123</v>
      </c>
      <c r="E16">
        <v>4968</v>
      </c>
      <c r="F16">
        <v>3857</v>
      </c>
    </row>
    <row r="17" spans="1:6" x14ac:dyDescent="0.3">
      <c r="A17" t="s">
        <v>27</v>
      </c>
      <c r="B17">
        <v>9773</v>
      </c>
      <c r="C17">
        <v>9179</v>
      </c>
      <c r="D17">
        <v>8390</v>
      </c>
      <c r="E17">
        <v>8256</v>
      </c>
      <c r="F17">
        <v>3815</v>
      </c>
    </row>
    <row r="18" spans="1:6" x14ac:dyDescent="0.3">
      <c r="A18" t="s">
        <v>34</v>
      </c>
      <c r="B18">
        <v>6156</v>
      </c>
      <c r="C18">
        <v>6110</v>
      </c>
      <c r="D18">
        <v>5791</v>
      </c>
      <c r="E18">
        <v>1759</v>
      </c>
      <c r="F18">
        <v>969</v>
      </c>
    </row>
    <row r="19" spans="1:6" x14ac:dyDescent="0.3">
      <c r="A19" t="s">
        <v>31</v>
      </c>
      <c r="B19">
        <v>8331</v>
      </c>
      <c r="C19">
        <v>7667</v>
      </c>
      <c r="D19">
        <v>5952</v>
      </c>
      <c r="E19">
        <v>1998</v>
      </c>
      <c r="F19">
        <v>375</v>
      </c>
    </row>
  </sheetData>
  <mergeCells count="1">
    <mergeCell ref="B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B9A-92C9-4B76-BE81-EBF63FBBD6B7}">
  <dimension ref="A3:J8"/>
  <sheetViews>
    <sheetView tabSelected="1" topLeftCell="A4" workbookViewId="0">
      <selection activeCell="N6" sqref="N6"/>
    </sheetView>
  </sheetViews>
  <sheetFormatPr defaultRowHeight="14.4" x14ac:dyDescent="0.3"/>
  <cols>
    <col min="1" max="1" width="14.77734375" bestFit="1" customWidth="1"/>
    <col min="2" max="6" width="11.44140625" bestFit="1" customWidth="1"/>
    <col min="7" max="7" width="12.33203125" customWidth="1"/>
    <col min="9" max="9" width="12.21875" customWidth="1"/>
  </cols>
  <sheetData>
    <row r="3" spans="1:10" x14ac:dyDescent="0.3">
      <c r="A3" s="4" t="s">
        <v>3</v>
      </c>
      <c r="B3" t="s">
        <v>265</v>
      </c>
      <c r="C3" t="s">
        <v>266</v>
      </c>
      <c r="D3" t="s">
        <v>267</v>
      </c>
      <c r="E3" t="s">
        <v>268</v>
      </c>
      <c r="F3" t="s">
        <v>269</v>
      </c>
      <c r="G3" t="s">
        <v>270</v>
      </c>
      <c r="I3" s="12" t="s">
        <v>3</v>
      </c>
      <c r="J3" t="s">
        <v>271</v>
      </c>
    </row>
    <row r="4" spans="1:10" x14ac:dyDescent="0.3">
      <c r="A4" s="5" t="s">
        <v>251</v>
      </c>
      <c r="B4" s="13">
        <v>51804</v>
      </c>
      <c r="C4" s="13">
        <v>60121</v>
      </c>
      <c r="D4" s="13">
        <v>60760</v>
      </c>
      <c r="E4" s="13">
        <v>75991</v>
      </c>
      <c r="F4" s="13">
        <v>94147</v>
      </c>
      <c r="G4" s="3">
        <f>IF(B4=0,"N/A",(F4-B4)/B4)</f>
        <v>0.81736931511080224</v>
      </c>
      <c r="I4" s="5" t="s">
        <v>251</v>
      </c>
      <c r="J4">
        <v>2017</v>
      </c>
    </row>
    <row r="5" spans="1:10" x14ac:dyDescent="0.3">
      <c r="A5" s="5" t="s">
        <v>253</v>
      </c>
      <c r="B5" s="13">
        <v>47259</v>
      </c>
      <c r="C5" s="13">
        <v>67275</v>
      </c>
      <c r="D5" s="13">
        <v>79646</v>
      </c>
      <c r="E5" s="13">
        <v>102065</v>
      </c>
      <c r="F5" s="13">
        <v>112270</v>
      </c>
      <c r="G5" s="3">
        <f>IF(B5=0,"N/A",(F5-B5)/B5)</f>
        <v>1.375632154721852</v>
      </c>
      <c r="I5" s="5" t="s">
        <v>253</v>
      </c>
      <c r="J5">
        <v>2018</v>
      </c>
    </row>
    <row r="6" spans="1:10" x14ac:dyDescent="0.3">
      <c r="A6" s="5" t="s">
        <v>254</v>
      </c>
      <c r="B6" s="13">
        <v>44888</v>
      </c>
      <c r="C6" s="13">
        <v>50567</v>
      </c>
      <c r="D6" s="13">
        <v>70312</v>
      </c>
      <c r="E6" s="13">
        <v>82583</v>
      </c>
      <c r="F6" s="13">
        <v>100592</v>
      </c>
      <c r="G6" s="3">
        <f>IF(B6=0,"N/A",(F6-B6)/B6)</f>
        <v>1.2409552664409196</v>
      </c>
      <c r="I6" s="5" t="s">
        <v>254</v>
      </c>
      <c r="J6">
        <v>2019</v>
      </c>
    </row>
    <row r="7" spans="1:10" x14ac:dyDescent="0.3">
      <c r="A7" s="5" t="s">
        <v>252</v>
      </c>
      <c r="B7" s="13">
        <v>46025</v>
      </c>
      <c r="C7" s="13">
        <v>65032</v>
      </c>
      <c r="D7" s="13">
        <v>77731</v>
      </c>
      <c r="E7" s="13">
        <v>89595</v>
      </c>
      <c r="F7" s="13">
        <v>102185</v>
      </c>
      <c r="G7" s="3">
        <f>IF(B7=0,"N/A",(F7-B7)/B7)</f>
        <v>1.2202064095600218</v>
      </c>
      <c r="I7" s="5" t="s">
        <v>252</v>
      </c>
      <c r="J7">
        <v>2020</v>
      </c>
    </row>
    <row r="8" spans="1:10" x14ac:dyDescent="0.3">
      <c r="A8" s="5" t="s">
        <v>264</v>
      </c>
      <c r="B8" s="13">
        <v>189976</v>
      </c>
      <c r="C8" s="13">
        <v>242995</v>
      </c>
      <c r="D8" s="13">
        <v>288449</v>
      </c>
      <c r="E8" s="13">
        <v>350234</v>
      </c>
      <c r="F8" s="13">
        <v>409194</v>
      </c>
      <c r="G8" s="3">
        <f>IF(B8=0,"N/A",(F8-B8)/B8)</f>
        <v>1.1539247062786879</v>
      </c>
      <c r="J8">
        <v>2021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442F-8E67-408F-AB5C-3991107AAFBD}">
  <dimension ref="A1:Q64"/>
  <sheetViews>
    <sheetView topLeftCell="A14" zoomScale="109" workbookViewId="0">
      <selection activeCell="N6" sqref="N6"/>
    </sheetView>
  </sheetViews>
  <sheetFormatPr defaultRowHeight="14.4" x14ac:dyDescent="0.3"/>
  <cols>
    <col min="1" max="1" width="15.21875" customWidth="1"/>
    <col min="7" max="7" width="16.6640625" customWidth="1"/>
    <col min="8" max="8" width="10.21875" customWidth="1"/>
    <col min="9" max="9" width="16.6640625" customWidth="1"/>
    <col min="12" max="16" width="11.44140625" bestFit="1" customWidth="1"/>
    <col min="17" max="17" width="13.77734375" customWidth="1"/>
  </cols>
  <sheetData>
    <row r="1" spans="1:17" ht="18" x14ac:dyDescent="0.35">
      <c r="G1" s="2" t="s">
        <v>140</v>
      </c>
      <c r="I1" s="2" t="s">
        <v>140</v>
      </c>
    </row>
    <row r="2" spans="1:17" x14ac:dyDescent="0.3">
      <c r="J2" s="1"/>
      <c r="K2" s="1"/>
      <c r="L2" s="1" t="s">
        <v>3</v>
      </c>
      <c r="M2" s="1"/>
    </row>
    <row r="3" spans="1:17" x14ac:dyDescent="0.3">
      <c r="G3" s="1"/>
      <c r="I3" s="1"/>
      <c r="L3" t="s">
        <v>251</v>
      </c>
    </row>
    <row r="4" spans="1:17" x14ac:dyDescent="0.3">
      <c r="A4" s="1" t="s">
        <v>3</v>
      </c>
      <c r="B4" s="1">
        <v>2017</v>
      </c>
      <c r="C4" s="1">
        <v>2018</v>
      </c>
      <c r="D4" s="1">
        <v>2019</v>
      </c>
      <c r="E4" s="1">
        <v>2020</v>
      </c>
      <c r="F4" s="1">
        <v>2021</v>
      </c>
      <c r="G4" s="1" t="s">
        <v>0</v>
      </c>
      <c r="H4" s="1" t="s">
        <v>262</v>
      </c>
      <c r="I4" s="1" t="s">
        <v>0</v>
      </c>
      <c r="L4" t="s">
        <v>253</v>
      </c>
      <c r="N4" t="s">
        <v>251</v>
      </c>
      <c r="O4" t="s">
        <v>253</v>
      </c>
      <c r="P4" t="s">
        <v>254</v>
      </c>
      <c r="Q4" t="s">
        <v>252</v>
      </c>
    </row>
    <row r="5" spans="1:17" x14ac:dyDescent="0.3">
      <c r="A5" t="s">
        <v>251</v>
      </c>
      <c r="B5">
        <v>24</v>
      </c>
      <c r="C5">
        <v>1797</v>
      </c>
      <c r="D5">
        <v>3548</v>
      </c>
      <c r="E5">
        <v>3668</v>
      </c>
      <c r="F5">
        <v>8592</v>
      </c>
      <c r="G5" t="s">
        <v>21</v>
      </c>
      <c r="H5" s="3">
        <v>2.2417282473900286</v>
      </c>
      <c r="I5" t="s">
        <v>21</v>
      </c>
      <c r="L5" t="s">
        <v>254</v>
      </c>
      <c r="N5" t="str">
        <f>INDEX($G:$G,5+(COLUMN(A1)-1)*15+ROW(A1)-1)</f>
        <v>Bar 13</v>
      </c>
      <c r="O5" t="str">
        <f>INDEX($G:$G,5+(COLUMN(B1)-1)*15+ROW(B1)-1)</f>
        <v>Nightclub 2</v>
      </c>
      <c r="P5" t="str">
        <f>INDEX($G:$G,5+(COLUMN(C1)-1)*15+ROW(C1)-1)</f>
        <v>Event Venue 11</v>
      </c>
      <c r="Q5" t="str">
        <f>INDEX($G:$G,5+(COLUMN(D1)-1)*15+ROW(D1)-1)</f>
        <v>Restaurant 5</v>
      </c>
    </row>
    <row r="6" spans="1:17" x14ac:dyDescent="0.3">
      <c r="A6" t="s">
        <v>251</v>
      </c>
      <c r="B6">
        <v>861</v>
      </c>
      <c r="C6">
        <v>1314</v>
      </c>
      <c r="D6">
        <v>1810</v>
      </c>
      <c r="E6">
        <v>6510</v>
      </c>
      <c r="F6">
        <v>9271</v>
      </c>
      <c r="G6" t="s">
        <v>22</v>
      </c>
      <c r="H6" s="3">
        <v>0.60851341002213011</v>
      </c>
      <c r="I6" t="s">
        <v>22</v>
      </c>
      <c r="L6" t="s">
        <v>252</v>
      </c>
      <c r="N6" t="str">
        <f>INDEX($G:$G,5+(COLUMN(A2)-1)*15+ROW(A2)-1)</f>
        <v>Bar 14</v>
      </c>
      <c r="O6" t="str">
        <f>INDEX($G:$G,5+(COLUMN(B2)-1)*15+ROW(B2)-1)</f>
        <v>Nightclub 10</v>
      </c>
      <c r="P6" t="str">
        <f>INDEX($G:$G,5+(COLUMN(C2)-1)*15+ROW(C2)-1)</f>
        <v>Event Venue 2</v>
      </c>
      <c r="Q6" t="str">
        <f>INDEX($G:$G,5+(COLUMN(D2)-1)*15+ROW(D2)-1)</f>
        <v>Restaurant 12</v>
      </c>
    </row>
    <row r="7" spans="1:17" x14ac:dyDescent="0.3">
      <c r="A7" t="s">
        <v>251</v>
      </c>
      <c r="B7">
        <v>906</v>
      </c>
      <c r="C7">
        <v>1251</v>
      </c>
      <c r="D7">
        <v>2897</v>
      </c>
      <c r="E7">
        <v>4499</v>
      </c>
      <c r="F7">
        <v>9428</v>
      </c>
      <c r="G7" t="s">
        <v>12</v>
      </c>
      <c r="H7" s="3">
        <v>0.59756403600546837</v>
      </c>
      <c r="I7" t="s">
        <v>12</v>
      </c>
    </row>
    <row r="8" spans="1:17" x14ac:dyDescent="0.3">
      <c r="A8" t="s">
        <v>251</v>
      </c>
      <c r="B8">
        <v>1209</v>
      </c>
      <c r="C8">
        <v>1534</v>
      </c>
      <c r="D8">
        <v>1634</v>
      </c>
      <c r="E8">
        <v>4302</v>
      </c>
      <c r="F8">
        <v>9768</v>
      </c>
      <c r="G8" t="s">
        <v>11</v>
      </c>
      <c r="H8" s="3">
        <v>0.51871355792226703</v>
      </c>
      <c r="I8" t="s">
        <v>11</v>
      </c>
    </row>
    <row r="9" spans="1:17" x14ac:dyDescent="0.3">
      <c r="A9" t="s">
        <v>251</v>
      </c>
      <c r="B9">
        <v>1581</v>
      </c>
      <c r="C9">
        <v>4799</v>
      </c>
      <c r="D9">
        <v>6582</v>
      </c>
      <c r="E9">
        <v>9024</v>
      </c>
      <c r="F9">
        <v>9759</v>
      </c>
      <c r="G9" t="s">
        <v>16</v>
      </c>
      <c r="H9" s="3">
        <v>0.43911231499610492</v>
      </c>
      <c r="I9" t="s">
        <v>16</v>
      </c>
      <c r="N9" t="s">
        <v>251</v>
      </c>
      <c r="O9" t="s">
        <v>253</v>
      </c>
      <c r="P9" t="s">
        <v>254</v>
      </c>
      <c r="Q9" t="s">
        <v>252</v>
      </c>
    </row>
    <row r="10" spans="1:17" x14ac:dyDescent="0.3">
      <c r="A10" t="s">
        <v>251</v>
      </c>
      <c r="B10">
        <v>1982</v>
      </c>
      <c r="C10">
        <v>5388</v>
      </c>
      <c r="D10">
        <v>7063</v>
      </c>
      <c r="E10">
        <v>7208</v>
      </c>
      <c r="F10">
        <v>9093</v>
      </c>
      <c r="G10" t="s">
        <v>9</v>
      </c>
      <c r="H10" s="3">
        <v>0.35619053226467301</v>
      </c>
      <c r="I10" t="s">
        <v>9</v>
      </c>
      <c r="N10" t="str">
        <f>INDEX($G:$G,18+(COLUMN(A1)-1)*15+ROW(A1)-1)</f>
        <v>Bar 15</v>
      </c>
      <c r="O10" t="str">
        <f t="shared" ref="O10:Q10" si="0">INDEX($G:$G,18+(COLUMN(B1)-1)*15+ROW(B1)-1)</f>
        <v>Nightclub 8</v>
      </c>
      <c r="P10" t="str">
        <f t="shared" si="0"/>
        <v>Event Venue 4</v>
      </c>
      <c r="Q10" t="str">
        <f t="shared" si="0"/>
        <v>Restaurant 11</v>
      </c>
    </row>
    <row r="11" spans="1:17" x14ac:dyDescent="0.3">
      <c r="A11" t="s">
        <v>251</v>
      </c>
      <c r="B11">
        <v>1421</v>
      </c>
      <c r="C11">
        <v>1893</v>
      </c>
      <c r="D11">
        <v>2722</v>
      </c>
      <c r="E11">
        <v>4410</v>
      </c>
      <c r="F11">
        <v>5873</v>
      </c>
      <c r="G11" t="s">
        <v>13</v>
      </c>
      <c r="H11" s="3">
        <v>0.32816852649646844</v>
      </c>
      <c r="I11" t="s">
        <v>13</v>
      </c>
      <c r="N11" t="str">
        <f>INDEX($G:$G,18+(COLUMN(A2)-1)*15+ROW(A2)-1)</f>
        <v>Bar 7</v>
      </c>
      <c r="O11" t="str">
        <f t="shared" ref="O11" si="1">INDEX($G:$G,18+(COLUMN(B2)-1)*15+ROW(B2)-1)</f>
        <v>Nightclub 11</v>
      </c>
      <c r="P11" t="str">
        <f t="shared" ref="P11" si="2">INDEX($G:$G,18+(COLUMN(C2)-1)*15+ROW(C2)-1)</f>
        <v>Event Venue 1</v>
      </c>
      <c r="Q11" t="str">
        <f t="shared" ref="Q11" si="3">INDEX($G:$G,18+(COLUMN(D2)-1)*15+ROW(D2)-1)</f>
        <v>Restaurant 8</v>
      </c>
    </row>
    <row r="12" spans="1:17" x14ac:dyDescent="0.3">
      <c r="A12" t="s">
        <v>251</v>
      </c>
      <c r="B12">
        <v>1530</v>
      </c>
      <c r="C12">
        <v>1620</v>
      </c>
      <c r="D12">
        <v>2027</v>
      </c>
      <c r="E12">
        <v>4881</v>
      </c>
      <c r="F12">
        <v>6002</v>
      </c>
      <c r="G12" t="s">
        <v>18</v>
      </c>
      <c r="H12" s="3">
        <v>0.31437990899992707</v>
      </c>
      <c r="I12" t="s">
        <v>18</v>
      </c>
    </row>
    <row r="13" spans="1:17" x14ac:dyDescent="0.3">
      <c r="A13" t="s">
        <v>251</v>
      </c>
      <c r="B13">
        <v>2341</v>
      </c>
      <c r="C13">
        <v>6105</v>
      </c>
      <c r="D13">
        <v>7777</v>
      </c>
      <c r="E13">
        <v>7891</v>
      </c>
      <c r="F13">
        <v>8758</v>
      </c>
      <c r="G13" t="s">
        <v>14</v>
      </c>
      <c r="H13" s="3">
        <v>0.30196918487306212</v>
      </c>
      <c r="I13" t="s">
        <v>14</v>
      </c>
    </row>
    <row r="14" spans="1:17" x14ac:dyDescent="0.3">
      <c r="A14" t="s">
        <v>251</v>
      </c>
      <c r="B14">
        <v>1532</v>
      </c>
      <c r="C14">
        <v>2678</v>
      </c>
      <c r="D14">
        <v>4068</v>
      </c>
      <c r="E14">
        <v>4278</v>
      </c>
      <c r="F14">
        <v>5382</v>
      </c>
      <c r="G14" t="s">
        <v>20</v>
      </c>
      <c r="H14" s="3">
        <v>0.28569213036906493</v>
      </c>
      <c r="I14" t="s">
        <v>20</v>
      </c>
    </row>
    <row r="15" spans="1:17" x14ac:dyDescent="0.3">
      <c r="A15" t="s">
        <v>251</v>
      </c>
      <c r="B15">
        <v>2786</v>
      </c>
      <c r="C15">
        <v>3804</v>
      </c>
      <c r="D15">
        <v>4121</v>
      </c>
      <c r="E15">
        <v>6210</v>
      </c>
      <c r="F15">
        <v>6909</v>
      </c>
      <c r="G15" t="s">
        <v>10</v>
      </c>
      <c r="H15" s="3">
        <v>0.19918673575040846</v>
      </c>
      <c r="I15" t="s">
        <v>10</v>
      </c>
    </row>
    <row r="16" spans="1:17" x14ac:dyDescent="0.3">
      <c r="A16" t="s">
        <v>251</v>
      </c>
      <c r="B16">
        <v>7555</v>
      </c>
      <c r="C16">
        <v>6551</v>
      </c>
      <c r="D16">
        <v>5188</v>
      </c>
      <c r="E16">
        <v>3436</v>
      </c>
      <c r="F16">
        <v>2359</v>
      </c>
      <c r="G16" t="s">
        <v>19</v>
      </c>
      <c r="H16" s="3">
        <v>-0.2076835105195487</v>
      </c>
      <c r="I16" t="s">
        <v>19</v>
      </c>
    </row>
    <row r="17" spans="1:16" x14ac:dyDescent="0.3">
      <c r="A17" t="s">
        <v>251</v>
      </c>
      <c r="B17">
        <v>9766</v>
      </c>
      <c r="C17">
        <v>8049</v>
      </c>
      <c r="D17">
        <v>5556</v>
      </c>
      <c r="E17">
        <v>5202</v>
      </c>
      <c r="F17">
        <v>2373</v>
      </c>
      <c r="G17" t="s">
        <v>17</v>
      </c>
      <c r="H17" s="3">
        <v>-0.24644283485137131</v>
      </c>
      <c r="I17" t="s">
        <v>17</v>
      </c>
      <c r="K17" t="s">
        <v>277</v>
      </c>
      <c r="L17" t="s">
        <v>274</v>
      </c>
      <c r="M17" t="s">
        <v>275</v>
      </c>
      <c r="N17" t="s">
        <v>276</v>
      </c>
      <c r="O17" t="s">
        <v>273</v>
      </c>
      <c r="P17" t="s">
        <v>272</v>
      </c>
    </row>
    <row r="18" spans="1:16" x14ac:dyDescent="0.3">
      <c r="A18" t="s">
        <v>251</v>
      </c>
      <c r="B18">
        <v>9058</v>
      </c>
      <c r="C18">
        <v>4839</v>
      </c>
      <c r="D18">
        <v>4776</v>
      </c>
      <c r="E18">
        <v>4024</v>
      </c>
      <c r="F18">
        <v>369</v>
      </c>
      <c r="G18" t="s">
        <v>23</v>
      </c>
      <c r="H18" s="3">
        <v>-0.47277158327084157</v>
      </c>
      <c r="I18" t="s">
        <v>23</v>
      </c>
      <c r="K18" t="s">
        <v>278</v>
      </c>
      <c r="L18" s="13">
        <v>189976</v>
      </c>
      <c r="M18" s="13">
        <v>242995</v>
      </c>
      <c r="N18" s="13">
        <v>288449</v>
      </c>
      <c r="O18" s="13">
        <v>350234</v>
      </c>
      <c r="P18" s="13">
        <v>409194</v>
      </c>
    </row>
    <row r="19" spans="1:16" x14ac:dyDescent="0.3">
      <c r="A19" t="s">
        <v>251</v>
      </c>
      <c r="B19">
        <v>9252</v>
      </c>
      <c r="C19">
        <v>8499</v>
      </c>
      <c r="D19">
        <v>991</v>
      </c>
      <c r="E19">
        <v>448</v>
      </c>
      <c r="F19">
        <v>211</v>
      </c>
      <c r="G19" t="s">
        <v>15</v>
      </c>
      <c r="H19" s="3">
        <v>-0.53052835583623759</v>
      </c>
      <c r="I19" t="s">
        <v>15</v>
      </c>
      <c r="K19" t="s">
        <v>279</v>
      </c>
      <c r="L19" s="13">
        <v>189976</v>
      </c>
      <c r="M19" s="13">
        <v>242995</v>
      </c>
      <c r="N19" s="13">
        <v>288449</v>
      </c>
      <c r="O19" s="13">
        <v>350234</v>
      </c>
      <c r="P19" s="13">
        <v>409194</v>
      </c>
    </row>
    <row r="20" spans="1:16" x14ac:dyDescent="0.3">
      <c r="A20" t="s">
        <v>253</v>
      </c>
      <c r="B20">
        <v>138</v>
      </c>
      <c r="C20">
        <v>286</v>
      </c>
      <c r="D20">
        <v>6750</v>
      </c>
      <c r="E20">
        <v>8254</v>
      </c>
      <c r="F20">
        <v>8656</v>
      </c>
      <c r="G20" t="s">
        <v>40</v>
      </c>
      <c r="H20" s="3">
        <v>1.2881665488224225</v>
      </c>
      <c r="I20" t="s">
        <v>40</v>
      </c>
    </row>
    <row r="21" spans="1:16" x14ac:dyDescent="0.3">
      <c r="A21" t="s">
        <v>253</v>
      </c>
      <c r="B21">
        <v>376</v>
      </c>
      <c r="C21">
        <v>889</v>
      </c>
      <c r="D21">
        <v>4373</v>
      </c>
      <c r="E21">
        <v>6803</v>
      </c>
      <c r="F21">
        <v>7578</v>
      </c>
      <c r="G21" t="s">
        <v>48</v>
      </c>
      <c r="H21" s="3">
        <v>0.8233638960693328</v>
      </c>
      <c r="I21" t="s">
        <v>48</v>
      </c>
      <c r="L21" t="str">
        <f>TRANSPOSE(K17:P17)</f>
        <v xml:space="preserve"> 2017</v>
      </c>
      <c r="M21" t="str">
        <f t="shared" ref="M21:N21" si="4">TRANSPOSE(L17:Q17)</f>
        <v xml:space="preserve"> 2018</v>
      </c>
      <c r="N21" t="str">
        <f t="shared" si="4"/>
        <v xml:space="preserve"> 2019</v>
      </c>
      <c r="O21" t="str">
        <f>TRANSPOSE(N17:S17)</f>
        <v xml:space="preserve"> 2020</v>
      </c>
      <c r="P21" t="str">
        <f t="shared" ref="P21" si="5">TRANSPOSE(O17:T17)</f>
        <v xml:space="preserve"> 2021</v>
      </c>
    </row>
    <row r="22" spans="1:16" x14ac:dyDescent="0.3">
      <c r="A22" t="s">
        <v>253</v>
      </c>
      <c r="B22">
        <v>431</v>
      </c>
      <c r="C22">
        <v>6231</v>
      </c>
      <c r="D22">
        <v>7478</v>
      </c>
      <c r="E22">
        <v>8039</v>
      </c>
      <c r="F22">
        <v>8271</v>
      </c>
      <c r="G22" t="s">
        <v>53</v>
      </c>
      <c r="H22" s="3">
        <v>0.80557756627518251</v>
      </c>
      <c r="I22" t="s">
        <v>53</v>
      </c>
      <c r="L22">
        <f>TRANSPOSE(L18:P18)</f>
        <v>189976</v>
      </c>
      <c r="M22">
        <f t="shared" ref="M22:P22" si="6">TRANSPOSE(M18:Q18)</f>
        <v>242995</v>
      </c>
      <c r="N22">
        <f t="shared" si="6"/>
        <v>288449</v>
      </c>
      <c r="O22">
        <f t="shared" si="6"/>
        <v>350234</v>
      </c>
      <c r="P22">
        <f t="shared" si="6"/>
        <v>409194</v>
      </c>
    </row>
    <row r="23" spans="1:16" x14ac:dyDescent="0.3">
      <c r="A23" t="s">
        <v>253</v>
      </c>
      <c r="B23">
        <v>488</v>
      </c>
      <c r="C23">
        <v>5535</v>
      </c>
      <c r="D23">
        <v>5775</v>
      </c>
      <c r="E23">
        <v>7661</v>
      </c>
      <c r="F23">
        <v>9206</v>
      </c>
      <c r="G23" t="s">
        <v>47</v>
      </c>
      <c r="H23" s="3">
        <v>0.79941041442458327</v>
      </c>
      <c r="I23" t="s">
        <v>47</v>
      </c>
      <c r="L23">
        <f>TRANSPOSE(L19:P19)</f>
        <v>189976</v>
      </c>
      <c r="M23">
        <f t="shared" ref="M23:P23" si="7">TRANSPOSE(M19:Q19)</f>
        <v>242995</v>
      </c>
      <c r="N23">
        <f t="shared" si="7"/>
        <v>288449</v>
      </c>
      <c r="O23">
        <f t="shared" si="7"/>
        <v>350234</v>
      </c>
      <c r="P23">
        <f t="shared" si="7"/>
        <v>409194</v>
      </c>
    </row>
    <row r="24" spans="1:16" x14ac:dyDescent="0.3">
      <c r="A24" t="s">
        <v>253</v>
      </c>
      <c r="B24">
        <v>742</v>
      </c>
      <c r="C24">
        <v>3751</v>
      </c>
      <c r="D24">
        <v>4423</v>
      </c>
      <c r="E24">
        <v>8733</v>
      </c>
      <c r="F24">
        <v>9909</v>
      </c>
      <c r="G24" t="s">
        <v>45</v>
      </c>
      <c r="H24" s="3">
        <v>0.67928800020081637</v>
      </c>
      <c r="I24" t="s">
        <v>45</v>
      </c>
    </row>
    <row r="25" spans="1:16" x14ac:dyDescent="0.3">
      <c r="A25" t="s">
        <v>253</v>
      </c>
      <c r="B25">
        <v>1038</v>
      </c>
      <c r="C25">
        <v>3615</v>
      </c>
      <c r="D25">
        <v>3712</v>
      </c>
      <c r="E25">
        <v>5819</v>
      </c>
      <c r="F25">
        <v>9589</v>
      </c>
      <c r="G25" t="s">
        <v>50</v>
      </c>
      <c r="H25" s="3">
        <v>0.55996621610745612</v>
      </c>
      <c r="I25" t="s">
        <v>50</v>
      </c>
    </row>
    <row r="26" spans="1:16" x14ac:dyDescent="0.3">
      <c r="A26" t="s">
        <v>253</v>
      </c>
      <c r="B26">
        <v>1092</v>
      </c>
      <c r="C26">
        <v>3140</v>
      </c>
      <c r="D26">
        <v>4123</v>
      </c>
      <c r="E26">
        <v>4366</v>
      </c>
      <c r="F26">
        <v>9482</v>
      </c>
      <c r="G26" t="s">
        <v>43</v>
      </c>
      <c r="H26" s="3">
        <v>0.54076165823872469</v>
      </c>
      <c r="I26" t="s">
        <v>43</v>
      </c>
    </row>
    <row r="27" spans="1:16" x14ac:dyDescent="0.3">
      <c r="A27" t="s">
        <v>253</v>
      </c>
      <c r="B27">
        <v>1290</v>
      </c>
      <c r="C27">
        <v>4033</v>
      </c>
      <c r="D27">
        <v>6956</v>
      </c>
      <c r="E27">
        <v>7929</v>
      </c>
      <c r="F27">
        <v>8834</v>
      </c>
      <c r="G27" t="s">
        <v>52</v>
      </c>
      <c r="H27" s="3">
        <v>0.4693103469357589</v>
      </c>
      <c r="I27" t="s">
        <v>52</v>
      </c>
    </row>
    <row r="28" spans="1:16" x14ac:dyDescent="0.3">
      <c r="A28" t="s">
        <v>253</v>
      </c>
      <c r="B28">
        <v>2541</v>
      </c>
      <c r="C28">
        <v>3794</v>
      </c>
      <c r="D28">
        <v>3984</v>
      </c>
      <c r="E28">
        <v>8803</v>
      </c>
      <c r="F28">
        <v>9338</v>
      </c>
      <c r="G28" t="s">
        <v>44</v>
      </c>
      <c r="H28" s="3">
        <v>0.29732814762537663</v>
      </c>
      <c r="I28" t="s">
        <v>44</v>
      </c>
    </row>
    <row r="29" spans="1:16" x14ac:dyDescent="0.3">
      <c r="A29" t="s">
        <v>253</v>
      </c>
      <c r="B29">
        <v>2519</v>
      </c>
      <c r="C29">
        <v>3938</v>
      </c>
      <c r="D29">
        <v>5190</v>
      </c>
      <c r="E29">
        <v>8203</v>
      </c>
      <c r="F29">
        <v>8780</v>
      </c>
      <c r="G29" t="s">
        <v>39</v>
      </c>
      <c r="H29" s="3">
        <v>0.28366963950173796</v>
      </c>
      <c r="I29" t="s">
        <v>39</v>
      </c>
    </row>
    <row r="30" spans="1:16" x14ac:dyDescent="0.3">
      <c r="A30" t="s">
        <v>253</v>
      </c>
      <c r="B30">
        <v>3297</v>
      </c>
      <c r="C30">
        <v>4866</v>
      </c>
      <c r="D30">
        <v>4928</v>
      </c>
      <c r="E30">
        <v>8451</v>
      </c>
      <c r="F30">
        <v>9585</v>
      </c>
      <c r="G30" t="s">
        <v>42</v>
      </c>
      <c r="H30" s="3">
        <v>0.23792585619569206</v>
      </c>
      <c r="I30" t="s">
        <v>42</v>
      </c>
    </row>
    <row r="31" spans="1:16" x14ac:dyDescent="0.3">
      <c r="A31" t="s">
        <v>253</v>
      </c>
      <c r="B31">
        <v>8873</v>
      </c>
      <c r="C31">
        <v>8484</v>
      </c>
      <c r="D31">
        <v>7883</v>
      </c>
      <c r="E31">
        <v>7499</v>
      </c>
      <c r="F31">
        <v>6592</v>
      </c>
      <c r="G31" t="s">
        <v>41</v>
      </c>
      <c r="H31" s="3">
        <v>-5.7699669516278251E-2</v>
      </c>
      <c r="I31" t="s">
        <v>41</v>
      </c>
    </row>
    <row r="32" spans="1:16" x14ac:dyDescent="0.3">
      <c r="A32" t="s">
        <v>253</v>
      </c>
      <c r="B32">
        <v>8891</v>
      </c>
      <c r="C32">
        <v>5952</v>
      </c>
      <c r="D32">
        <v>5914</v>
      </c>
      <c r="E32">
        <v>5405</v>
      </c>
      <c r="F32">
        <v>4031</v>
      </c>
      <c r="G32" t="s">
        <v>51</v>
      </c>
      <c r="H32" s="3">
        <v>-0.14632524698028038</v>
      </c>
      <c r="I32" t="s">
        <v>51</v>
      </c>
    </row>
    <row r="33" spans="1:9" x14ac:dyDescent="0.3">
      <c r="A33" t="s">
        <v>253</v>
      </c>
      <c r="B33">
        <v>7703</v>
      </c>
      <c r="C33">
        <v>6957</v>
      </c>
      <c r="D33">
        <v>3898</v>
      </c>
      <c r="E33">
        <v>1857</v>
      </c>
      <c r="F33">
        <v>1512</v>
      </c>
      <c r="G33" t="s">
        <v>46</v>
      </c>
      <c r="H33" s="3">
        <v>-0.27793153457210906</v>
      </c>
      <c r="I33" t="s">
        <v>46</v>
      </c>
    </row>
    <row r="34" spans="1:9" x14ac:dyDescent="0.3">
      <c r="A34" t="s">
        <v>253</v>
      </c>
      <c r="B34">
        <v>7840</v>
      </c>
      <c r="C34">
        <v>5804</v>
      </c>
      <c r="D34">
        <v>4259</v>
      </c>
      <c r="E34">
        <v>4243</v>
      </c>
      <c r="F34">
        <v>907</v>
      </c>
      <c r="G34" t="s">
        <v>49</v>
      </c>
      <c r="H34" s="3">
        <v>-0.35038170863775375</v>
      </c>
      <c r="I34" t="s">
        <v>49</v>
      </c>
    </row>
    <row r="35" spans="1:9" x14ac:dyDescent="0.3">
      <c r="A35" t="s">
        <v>254</v>
      </c>
      <c r="B35">
        <v>128</v>
      </c>
      <c r="C35">
        <v>416</v>
      </c>
      <c r="D35">
        <v>747</v>
      </c>
      <c r="E35">
        <v>1028</v>
      </c>
      <c r="F35">
        <v>6357</v>
      </c>
      <c r="G35" t="s">
        <v>64</v>
      </c>
      <c r="H35" s="3">
        <v>1.1837778083492312</v>
      </c>
      <c r="I35" t="s">
        <v>64</v>
      </c>
    </row>
    <row r="36" spans="1:9" x14ac:dyDescent="0.3">
      <c r="A36" t="s">
        <v>254</v>
      </c>
      <c r="B36">
        <v>299</v>
      </c>
      <c r="C36">
        <v>657</v>
      </c>
      <c r="D36">
        <v>6238</v>
      </c>
      <c r="E36">
        <v>8922</v>
      </c>
      <c r="F36">
        <v>9081</v>
      </c>
      <c r="G36" t="s">
        <v>55</v>
      </c>
      <c r="H36" s="3">
        <v>0.9792128296192284</v>
      </c>
      <c r="I36" t="s">
        <v>55</v>
      </c>
    </row>
    <row r="37" spans="1:9" x14ac:dyDescent="0.3">
      <c r="A37" t="s">
        <v>254</v>
      </c>
      <c r="B37">
        <v>870</v>
      </c>
      <c r="C37">
        <v>2428</v>
      </c>
      <c r="D37">
        <v>7386</v>
      </c>
      <c r="E37">
        <v>8835</v>
      </c>
      <c r="F37">
        <v>9766</v>
      </c>
      <c r="G37" t="s">
        <v>58</v>
      </c>
      <c r="H37" s="3">
        <v>0.62195758671656565</v>
      </c>
      <c r="I37" t="s">
        <v>58</v>
      </c>
    </row>
    <row r="38" spans="1:9" x14ac:dyDescent="0.3">
      <c r="A38" t="s">
        <v>254</v>
      </c>
      <c r="B38">
        <v>576</v>
      </c>
      <c r="C38">
        <v>2628</v>
      </c>
      <c r="D38">
        <v>3612</v>
      </c>
      <c r="E38">
        <v>5066</v>
      </c>
      <c r="F38">
        <v>5156</v>
      </c>
      <c r="G38" t="s">
        <v>63</v>
      </c>
      <c r="H38" s="3">
        <v>0.55016556394106075</v>
      </c>
      <c r="I38" t="s">
        <v>63</v>
      </c>
    </row>
    <row r="39" spans="1:9" x14ac:dyDescent="0.3">
      <c r="A39" t="s">
        <v>254</v>
      </c>
      <c r="B39">
        <v>1082</v>
      </c>
      <c r="C39">
        <v>3353</v>
      </c>
      <c r="D39">
        <v>6351</v>
      </c>
      <c r="E39">
        <v>8550</v>
      </c>
      <c r="F39">
        <v>9272</v>
      </c>
      <c r="G39" t="s">
        <v>60</v>
      </c>
      <c r="H39" s="3">
        <v>0.53670049949440091</v>
      </c>
      <c r="I39" t="s">
        <v>60</v>
      </c>
    </row>
    <row r="40" spans="1:9" x14ac:dyDescent="0.3">
      <c r="A40" t="s">
        <v>254</v>
      </c>
      <c r="B40">
        <v>1263</v>
      </c>
      <c r="C40">
        <v>2517</v>
      </c>
      <c r="D40">
        <v>8042</v>
      </c>
      <c r="E40">
        <v>8222</v>
      </c>
      <c r="F40">
        <v>9686</v>
      </c>
      <c r="G40" t="s">
        <v>66</v>
      </c>
      <c r="H40" s="3">
        <v>0.50296277017670943</v>
      </c>
      <c r="I40" t="s">
        <v>66</v>
      </c>
    </row>
    <row r="41" spans="1:9" x14ac:dyDescent="0.3">
      <c r="A41" t="s">
        <v>254</v>
      </c>
      <c r="B41">
        <v>1014</v>
      </c>
      <c r="C41">
        <v>2254</v>
      </c>
      <c r="D41">
        <v>4534</v>
      </c>
      <c r="E41">
        <v>6796</v>
      </c>
      <c r="F41">
        <v>7730</v>
      </c>
      <c r="G41" t="s">
        <v>68</v>
      </c>
      <c r="H41" s="3">
        <v>0.50116457691279459</v>
      </c>
      <c r="I41" t="s">
        <v>68</v>
      </c>
    </row>
    <row r="42" spans="1:9" x14ac:dyDescent="0.3">
      <c r="A42" t="s">
        <v>254</v>
      </c>
      <c r="B42">
        <v>1357</v>
      </c>
      <c r="C42">
        <v>4189</v>
      </c>
      <c r="D42">
        <v>5407</v>
      </c>
      <c r="E42">
        <v>6233</v>
      </c>
      <c r="F42">
        <v>9681</v>
      </c>
      <c r="G42" t="s">
        <v>62</v>
      </c>
      <c r="H42" s="3">
        <v>0.48138544913845771</v>
      </c>
      <c r="I42" t="s">
        <v>62</v>
      </c>
    </row>
    <row r="43" spans="1:9" x14ac:dyDescent="0.3">
      <c r="A43" t="s">
        <v>254</v>
      </c>
      <c r="B43">
        <v>1497</v>
      </c>
      <c r="C43">
        <v>1768</v>
      </c>
      <c r="D43">
        <v>2804</v>
      </c>
      <c r="E43">
        <v>5718</v>
      </c>
      <c r="F43">
        <v>9822</v>
      </c>
      <c r="G43" t="s">
        <v>59</v>
      </c>
      <c r="H43" s="3">
        <v>0.45678555299281132</v>
      </c>
      <c r="I43" t="s">
        <v>59</v>
      </c>
    </row>
    <row r="44" spans="1:9" x14ac:dyDescent="0.3">
      <c r="A44" t="s">
        <v>254</v>
      </c>
      <c r="B44">
        <v>1032</v>
      </c>
      <c r="C44">
        <v>3919</v>
      </c>
      <c r="D44">
        <v>4466</v>
      </c>
      <c r="E44">
        <v>5568</v>
      </c>
      <c r="F44">
        <v>6476</v>
      </c>
      <c r="G44" t="s">
        <v>67</v>
      </c>
      <c r="H44" s="3">
        <v>0.44386114193401105</v>
      </c>
      <c r="I44" t="s">
        <v>67</v>
      </c>
    </row>
    <row r="45" spans="1:9" x14ac:dyDescent="0.3">
      <c r="A45" t="s">
        <v>254</v>
      </c>
      <c r="B45">
        <v>1323</v>
      </c>
      <c r="C45">
        <v>4963</v>
      </c>
      <c r="D45">
        <v>6292</v>
      </c>
      <c r="E45">
        <v>6728</v>
      </c>
      <c r="F45">
        <v>8202</v>
      </c>
      <c r="G45" t="s">
        <v>56</v>
      </c>
      <c r="H45" s="3">
        <v>0.44036309105086757</v>
      </c>
      <c r="I45" t="s">
        <v>56</v>
      </c>
    </row>
    <row r="46" spans="1:9" x14ac:dyDescent="0.3">
      <c r="A46" t="s">
        <v>254</v>
      </c>
      <c r="B46">
        <v>9791</v>
      </c>
      <c r="C46">
        <v>9610</v>
      </c>
      <c r="D46">
        <v>7534</v>
      </c>
      <c r="E46">
        <v>5080</v>
      </c>
      <c r="F46">
        <v>4936</v>
      </c>
      <c r="G46" t="s">
        <v>61</v>
      </c>
      <c r="H46" s="3">
        <v>-0.12801378349095649</v>
      </c>
      <c r="I46" t="s">
        <v>61</v>
      </c>
    </row>
    <row r="47" spans="1:9" x14ac:dyDescent="0.3">
      <c r="A47" t="s">
        <v>254</v>
      </c>
      <c r="B47">
        <v>8034</v>
      </c>
      <c r="C47">
        <v>6541</v>
      </c>
      <c r="D47">
        <v>3311</v>
      </c>
      <c r="E47">
        <v>3254</v>
      </c>
      <c r="F47">
        <v>2687</v>
      </c>
      <c r="G47" t="s">
        <v>65</v>
      </c>
      <c r="H47" s="3">
        <v>-0.19671960466548288</v>
      </c>
      <c r="I47" t="s">
        <v>65</v>
      </c>
    </row>
    <row r="48" spans="1:9" x14ac:dyDescent="0.3">
      <c r="A48" t="s">
        <v>254</v>
      </c>
      <c r="B48">
        <v>8466</v>
      </c>
      <c r="C48">
        <v>4079</v>
      </c>
      <c r="D48">
        <v>2797</v>
      </c>
      <c r="E48">
        <v>2245</v>
      </c>
      <c r="F48">
        <v>1696</v>
      </c>
      <c r="G48" t="s">
        <v>57</v>
      </c>
      <c r="H48" s="3">
        <v>-0.27498078493866884</v>
      </c>
      <c r="I48" t="s">
        <v>57</v>
      </c>
    </row>
    <row r="49" spans="1:9" x14ac:dyDescent="0.3">
      <c r="A49" t="s">
        <v>254</v>
      </c>
      <c r="B49">
        <v>8156</v>
      </c>
      <c r="C49">
        <v>1245</v>
      </c>
      <c r="D49">
        <v>791</v>
      </c>
      <c r="E49">
        <v>338</v>
      </c>
      <c r="F49">
        <v>44</v>
      </c>
      <c r="G49" t="s">
        <v>54</v>
      </c>
      <c r="H49" s="3">
        <v>-0.64811958793334279</v>
      </c>
      <c r="I49" t="s">
        <v>54</v>
      </c>
    </row>
    <row r="50" spans="1:9" x14ac:dyDescent="0.3">
      <c r="A50" t="s">
        <v>252</v>
      </c>
      <c r="B50">
        <v>73</v>
      </c>
      <c r="C50">
        <v>3485</v>
      </c>
      <c r="D50">
        <v>4592</v>
      </c>
      <c r="E50">
        <v>5143</v>
      </c>
      <c r="F50">
        <v>8100</v>
      </c>
      <c r="G50" t="s">
        <v>28</v>
      </c>
      <c r="H50" s="3">
        <v>1.5646755513040227</v>
      </c>
      <c r="I50" t="s">
        <v>28</v>
      </c>
    </row>
    <row r="51" spans="1:9" x14ac:dyDescent="0.3">
      <c r="A51" t="s">
        <v>252</v>
      </c>
      <c r="B51">
        <v>209</v>
      </c>
      <c r="C51">
        <v>621</v>
      </c>
      <c r="D51">
        <v>3098</v>
      </c>
      <c r="E51">
        <v>7118</v>
      </c>
      <c r="F51">
        <v>8433</v>
      </c>
      <c r="G51" t="s">
        <v>35</v>
      </c>
      <c r="H51" s="3">
        <v>1.0949186488492955</v>
      </c>
      <c r="I51" t="s">
        <v>35</v>
      </c>
    </row>
    <row r="52" spans="1:9" x14ac:dyDescent="0.3">
      <c r="A52" t="s">
        <v>252</v>
      </c>
      <c r="B52">
        <v>238</v>
      </c>
      <c r="C52">
        <v>1235</v>
      </c>
      <c r="D52">
        <v>1822</v>
      </c>
      <c r="E52">
        <v>7074</v>
      </c>
      <c r="F52">
        <v>8207</v>
      </c>
      <c r="G52" t="s">
        <v>29</v>
      </c>
      <c r="H52" s="3">
        <v>1.0301189974956895</v>
      </c>
      <c r="I52" t="s">
        <v>29</v>
      </c>
    </row>
    <row r="53" spans="1:9" x14ac:dyDescent="0.3">
      <c r="A53" t="s">
        <v>252</v>
      </c>
      <c r="B53">
        <v>570</v>
      </c>
      <c r="C53">
        <v>1322</v>
      </c>
      <c r="D53">
        <v>7279</v>
      </c>
      <c r="E53">
        <v>8443</v>
      </c>
      <c r="F53">
        <v>9571</v>
      </c>
      <c r="G53" t="s">
        <v>33</v>
      </c>
      <c r="H53" s="3">
        <v>0.7579903714787859</v>
      </c>
      <c r="I53" t="s">
        <v>33</v>
      </c>
    </row>
    <row r="54" spans="1:9" x14ac:dyDescent="0.3">
      <c r="A54" t="s">
        <v>252</v>
      </c>
      <c r="B54">
        <v>700</v>
      </c>
      <c r="C54">
        <v>5721</v>
      </c>
      <c r="D54">
        <v>6247</v>
      </c>
      <c r="E54">
        <v>8495</v>
      </c>
      <c r="F54">
        <v>9236</v>
      </c>
      <c r="G54" t="s">
        <v>26</v>
      </c>
      <c r="H54" s="3">
        <v>0.67524055030166985</v>
      </c>
      <c r="I54" t="s">
        <v>26</v>
      </c>
    </row>
    <row r="55" spans="1:9" x14ac:dyDescent="0.3">
      <c r="A55" t="s">
        <v>252</v>
      </c>
      <c r="B55">
        <v>712</v>
      </c>
      <c r="C55">
        <v>4182</v>
      </c>
      <c r="D55">
        <v>6087</v>
      </c>
      <c r="E55">
        <v>7494</v>
      </c>
      <c r="F55">
        <v>8599</v>
      </c>
      <c r="G55" t="s">
        <v>37</v>
      </c>
      <c r="H55" s="3">
        <v>0.64586265484059613</v>
      </c>
      <c r="I55" t="s">
        <v>37</v>
      </c>
    </row>
    <row r="56" spans="1:9" x14ac:dyDescent="0.3">
      <c r="A56" t="s">
        <v>252</v>
      </c>
      <c r="B56">
        <v>1368</v>
      </c>
      <c r="C56">
        <v>3447</v>
      </c>
      <c r="D56">
        <v>4535</v>
      </c>
      <c r="E56">
        <v>5476</v>
      </c>
      <c r="F56">
        <v>9983</v>
      </c>
      <c r="G56" t="s">
        <v>30</v>
      </c>
      <c r="H56" s="3">
        <v>0.48810986163702852</v>
      </c>
      <c r="I56" t="s">
        <v>30</v>
      </c>
    </row>
    <row r="57" spans="1:9" x14ac:dyDescent="0.3">
      <c r="A57" t="s">
        <v>252</v>
      </c>
      <c r="B57">
        <v>1779</v>
      </c>
      <c r="C57">
        <v>2124</v>
      </c>
      <c r="D57">
        <v>2844</v>
      </c>
      <c r="E57">
        <v>6877</v>
      </c>
      <c r="F57">
        <v>9570</v>
      </c>
      <c r="G57" t="s">
        <v>32</v>
      </c>
      <c r="H57" s="3">
        <v>0.40006177319181924</v>
      </c>
      <c r="I57" t="s">
        <v>32</v>
      </c>
    </row>
    <row r="58" spans="1:9" x14ac:dyDescent="0.3">
      <c r="A58" t="s">
        <v>252</v>
      </c>
      <c r="B58">
        <v>3501</v>
      </c>
      <c r="C58">
        <v>7079</v>
      </c>
      <c r="D58">
        <v>7438</v>
      </c>
      <c r="E58">
        <v>7443</v>
      </c>
      <c r="F58">
        <v>9225</v>
      </c>
      <c r="G58" t="s">
        <v>24</v>
      </c>
      <c r="H58" s="3">
        <v>0.2138215756945514</v>
      </c>
      <c r="I58" t="s">
        <v>24</v>
      </c>
    </row>
    <row r="59" spans="1:9" x14ac:dyDescent="0.3">
      <c r="A59" t="s">
        <v>252</v>
      </c>
      <c r="B59">
        <v>2390</v>
      </c>
      <c r="C59">
        <v>2415</v>
      </c>
      <c r="D59">
        <v>3461</v>
      </c>
      <c r="E59">
        <v>3850</v>
      </c>
      <c r="F59">
        <v>4657</v>
      </c>
      <c r="G59" t="s">
        <v>38</v>
      </c>
      <c r="H59" s="3">
        <v>0.14272483850088946</v>
      </c>
      <c r="I59" t="s">
        <v>38</v>
      </c>
    </row>
    <row r="60" spans="1:9" x14ac:dyDescent="0.3">
      <c r="A60" t="s">
        <v>252</v>
      </c>
      <c r="B60">
        <v>3916</v>
      </c>
      <c r="C60">
        <v>4218</v>
      </c>
      <c r="D60">
        <v>5072</v>
      </c>
      <c r="E60">
        <v>5201</v>
      </c>
      <c r="F60">
        <v>7588</v>
      </c>
      <c r="G60" t="s">
        <v>25</v>
      </c>
      <c r="H60" s="3">
        <v>0.14145009299098632</v>
      </c>
      <c r="I60" t="s">
        <v>25</v>
      </c>
    </row>
    <row r="61" spans="1:9" x14ac:dyDescent="0.3">
      <c r="A61" t="s">
        <v>252</v>
      </c>
      <c r="B61">
        <v>6309</v>
      </c>
      <c r="C61">
        <v>6227</v>
      </c>
      <c r="D61">
        <v>5123</v>
      </c>
      <c r="E61">
        <v>4968</v>
      </c>
      <c r="F61">
        <v>3857</v>
      </c>
      <c r="G61" t="s">
        <v>36</v>
      </c>
      <c r="H61" s="3">
        <v>-9.372954427409963E-2</v>
      </c>
      <c r="I61" t="s">
        <v>36</v>
      </c>
    </row>
    <row r="62" spans="1:9" x14ac:dyDescent="0.3">
      <c r="A62" t="s">
        <v>252</v>
      </c>
      <c r="B62">
        <v>9773</v>
      </c>
      <c r="C62">
        <v>9179</v>
      </c>
      <c r="D62">
        <v>8390</v>
      </c>
      <c r="E62">
        <v>8256</v>
      </c>
      <c r="F62">
        <v>3815</v>
      </c>
      <c r="G62" t="s">
        <v>27</v>
      </c>
      <c r="H62" s="3">
        <v>-0.17149844341981002</v>
      </c>
      <c r="I62" t="s">
        <v>27</v>
      </c>
    </row>
    <row r="63" spans="1:9" x14ac:dyDescent="0.3">
      <c r="A63" t="s">
        <v>252</v>
      </c>
      <c r="B63">
        <v>6156</v>
      </c>
      <c r="C63">
        <v>6110</v>
      </c>
      <c r="D63">
        <v>5791</v>
      </c>
      <c r="E63">
        <v>1759</v>
      </c>
      <c r="F63">
        <v>969</v>
      </c>
      <c r="G63" t="s">
        <v>34</v>
      </c>
      <c r="H63" s="3">
        <v>-0.30911616212185844</v>
      </c>
      <c r="I63" t="s">
        <v>34</v>
      </c>
    </row>
    <row r="64" spans="1:9" x14ac:dyDescent="0.3">
      <c r="A64" t="s">
        <v>252</v>
      </c>
      <c r="B64">
        <v>8331</v>
      </c>
      <c r="C64">
        <v>7667</v>
      </c>
      <c r="D64">
        <v>5952</v>
      </c>
      <c r="E64">
        <v>1998</v>
      </c>
      <c r="F64">
        <v>375</v>
      </c>
      <c r="G64" t="s">
        <v>31</v>
      </c>
      <c r="H64" s="3">
        <v>-0.4621429981676064</v>
      </c>
      <c r="I64" t="s">
        <v>31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4485-6831-443E-B594-852A88DD9E60}">
  <dimension ref="A1:F19"/>
  <sheetViews>
    <sheetView workbookViewId="0">
      <selection activeCell="B3" sqref="B3:F3"/>
    </sheetView>
  </sheetViews>
  <sheetFormatPr defaultRowHeight="14.4" x14ac:dyDescent="0.3"/>
  <cols>
    <col min="1" max="1" width="15.5546875" customWidth="1"/>
  </cols>
  <sheetData>
    <row r="1" spans="1:6" ht="18" x14ac:dyDescent="0.35">
      <c r="A1" s="2" t="s">
        <v>140</v>
      </c>
    </row>
    <row r="3" spans="1:6" x14ac:dyDescent="0.3">
      <c r="A3" s="1"/>
      <c r="B3" s="8" t="s">
        <v>257</v>
      </c>
      <c r="C3" s="9"/>
      <c r="D3" s="9"/>
      <c r="E3" s="9"/>
      <c r="F3" s="9"/>
    </row>
    <row r="4" spans="1:6" x14ac:dyDescent="0.3">
      <c r="A4" s="1" t="s">
        <v>0</v>
      </c>
      <c r="B4" s="1">
        <v>2017</v>
      </c>
      <c r="C4" s="1">
        <v>2018</v>
      </c>
      <c r="D4" s="1">
        <v>2019</v>
      </c>
      <c r="E4" s="1">
        <v>2020</v>
      </c>
      <c r="F4" s="1">
        <v>2021</v>
      </c>
    </row>
    <row r="5" spans="1:6" x14ac:dyDescent="0.3">
      <c r="A5" t="s">
        <v>64</v>
      </c>
      <c r="B5">
        <v>128</v>
      </c>
      <c r="C5">
        <v>416</v>
      </c>
      <c r="D5">
        <v>747</v>
      </c>
      <c r="E5">
        <v>1028</v>
      </c>
      <c r="F5">
        <v>6357</v>
      </c>
    </row>
    <row r="6" spans="1:6" x14ac:dyDescent="0.3">
      <c r="A6" t="s">
        <v>55</v>
      </c>
      <c r="B6">
        <v>299</v>
      </c>
      <c r="C6">
        <v>657</v>
      </c>
      <c r="D6">
        <v>6238</v>
      </c>
      <c r="E6">
        <v>8922</v>
      </c>
      <c r="F6">
        <v>9081</v>
      </c>
    </row>
    <row r="7" spans="1:6" x14ac:dyDescent="0.3">
      <c r="A7" t="s">
        <v>58</v>
      </c>
      <c r="B7">
        <v>870</v>
      </c>
      <c r="C7">
        <v>2428</v>
      </c>
      <c r="D7">
        <v>7386</v>
      </c>
      <c r="E7">
        <v>8835</v>
      </c>
      <c r="F7">
        <v>9766</v>
      </c>
    </row>
    <row r="8" spans="1:6" x14ac:dyDescent="0.3">
      <c r="A8" t="s">
        <v>63</v>
      </c>
      <c r="B8">
        <v>576</v>
      </c>
      <c r="C8">
        <v>2628</v>
      </c>
      <c r="D8">
        <v>3612</v>
      </c>
      <c r="E8">
        <v>5066</v>
      </c>
      <c r="F8">
        <v>5156</v>
      </c>
    </row>
    <row r="9" spans="1:6" x14ac:dyDescent="0.3">
      <c r="A9" t="s">
        <v>60</v>
      </c>
      <c r="B9">
        <v>1082</v>
      </c>
      <c r="C9">
        <v>3353</v>
      </c>
      <c r="D9">
        <v>6351</v>
      </c>
      <c r="E9">
        <v>8550</v>
      </c>
      <c r="F9">
        <v>9272</v>
      </c>
    </row>
    <row r="10" spans="1:6" x14ac:dyDescent="0.3">
      <c r="A10" t="s">
        <v>66</v>
      </c>
      <c r="B10">
        <v>1263</v>
      </c>
      <c r="C10">
        <v>2517</v>
      </c>
      <c r="D10">
        <v>8042</v>
      </c>
      <c r="E10">
        <v>8222</v>
      </c>
      <c r="F10">
        <v>9686</v>
      </c>
    </row>
    <row r="11" spans="1:6" x14ac:dyDescent="0.3">
      <c r="A11" t="s">
        <v>68</v>
      </c>
      <c r="B11">
        <v>1014</v>
      </c>
      <c r="C11">
        <v>2254</v>
      </c>
      <c r="D11">
        <v>4534</v>
      </c>
      <c r="E11">
        <v>6796</v>
      </c>
      <c r="F11">
        <v>7730</v>
      </c>
    </row>
    <row r="12" spans="1:6" x14ac:dyDescent="0.3">
      <c r="A12" t="s">
        <v>62</v>
      </c>
      <c r="B12">
        <v>1357</v>
      </c>
      <c r="C12">
        <v>4189</v>
      </c>
      <c r="D12">
        <v>5407</v>
      </c>
      <c r="E12">
        <v>6233</v>
      </c>
      <c r="F12">
        <v>9681</v>
      </c>
    </row>
    <row r="13" spans="1:6" x14ac:dyDescent="0.3">
      <c r="A13" t="s">
        <v>59</v>
      </c>
      <c r="B13">
        <v>1497</v>
      </c>
      <c r="C13">
        <v>1768</v>
      </c>
      <c r="D13">
        <v>2804</v>
      </c>
      <c r="E13">
        <v>5718</v>
      </c>
      <c r="F13">
        <v>9822</v>
      </c>
    </row>
    <row r="14" spans="1:6" x14ac:dyDescent="0.3">
      <c r="A14" t="s">
        <v>67</v>
      </c>
      <c r="B14">
        <v>1032</v>
      </c>
      <c r="C14">
        <v>3919</v>
      </c>
      <c r="D14">
        <v>4466</v>
      </c>
      <c r="E14">
        <v>5568</v>
      </c>
      <c r="F14">
        <v>6476</v>
      </c>
    </row>
    <row r="15" spans="1:6" x14ac:dyDescent="0.3">
      <c r="A15" t="s">
        <v>56</v>
      </c>
      <c r="B15">
        <v>1323</v>
      </c>
      <c r="C15">
        <v>4963</v>
      </c>
      <c r="D15">
        <v>6292</v>
      </c>
      <c r="E15">
        <v>6728</v>
      </c>
      <c r="F15">
        <v>8202</v>
      </c>
    </row>
    <row r="16" spans="1:6" x14ac:dyDescent="0.3">
      <c r="A16" t="s">
        <v>61</v>
      </c>
      <c r="B16">
        <v>9791</v>
      </c>
      <c r="C16">
        <v>9610</v>
      </c>
      <c r="D16">
        <v>7534</v>
      </c>
      <c r="E16">
        <v>5080</v>
      </c>
      <c r="F16">
        <v>4936</v>
      </c>
    </row>
    <row r="17" spans="1:6" x14ac:dyDescent="0.3">
      <c r="A17" t="s">
        <v>65</v>
      </c>
      <c r="B17">
        <v>8034</v>
      </c>
      <c r="C17">
        <v>6541</v>
      </c>
      <c r="D17">
        <v>3311</v>
      </c>
      <c r="E17">
        <v>3254</v>
      </c>
      <c r="F17">
        <v>2687</v>
      </c>
    </row>
    <row r="18" spans="1:6" x14ac:dyDescent="0.3">
      <c r="A18" t="s">
        <v>57</v>
      </c>
      <c r="B18">
        <v>8466</v>
      </c>
      <c r="C18">
        <v>4079</v>
      </c>
      <c r="D18">
        <v>2797</v>
      </c>
      <c r="E18">
        <v>2245</v>
      </c>
      <c r="F18">
        <v>1696</v>
      </c>
    </row>
    <row r="19" spans="1:6" x14ac:dyDescent="0.3">
      <c r="A19" t="s">
        <v>54</v>
      </c>
      <c r="B19">
        <v>8156</v>
      </c>
      <c r="C19">
        <v>1245</v>
      </c>
      <c r="D19">
        <v>791</v>
      </c>
      <c r="E19">
        <v>338</v>
      </c>
      <c r="F19">
        <v>44</v>
      </c>
    </row>
  </sheetData>
  <mergeCells count="1">
    <mergeCell ref="B3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DBB-A19A-404C-82A1-3783F4F60486}">
  <dimension ref="A1:F19"/>
  <sheetViews>
    <sheetView workbookViewId="0">
      <selection activeCell="R7" sqref="R7"/>
    </sheetView>
  </sheetViews>
  <sheetFormatPr defaultRowHeight="14.4" x14ac:dyDescent="0.3"/>
  <cols>
    <col min="1" max="1" width="14.21875" customWidth="1"/>
  </cols>
  <sheetData>
    <row r="1" spans="1:6" ht="18" x14ac:dyDescent="0.35">
      <c r="A1" s="2" t="s">
        <v>140</v>
      </c>
    </row>
    <row r="3" spans="1:6" x14ac:dyDescent="0.3">
      <c r="A3" s="1"/>
      <c r="B3" s="8" t="s">
        <v>257</v>
      </c>
      <c r="C3" s="9"/>
      <c r="D3" s="9"/>
      <c r="E3" s="9"/>
      <c r="F3" s="9"/>
    </row>
    <row r="4" spans="1:6" x14ac:dyDescent="0.3">
      <c r="A4" s="1" t="s">
        <v>0</v>
      </c>
      <c r="B4" s="1">
        <v>2017</v>
      </c>
      <c r="C4" s="1">
        <v>2018</v>
      </c>
      <c r="D4" s="1">
        <v>2019</v>
      </c>
      <c r="E4" s="1">
        <v>2020</v>
      </c>
      <c r="F4" s="1">
        <v>2021</v>
      </c>
    </row>
    <row r="5" spans="1:6" x14ac:dyDescent="0.3">
      <c r="A5" t="s">
        <v>40</v>
      </c>
      <c r="B5">
        <v>138</v>
      </c>
      <c r="C5">
        <v>286</v>
      </c>
      <c r="D5">
        <v>6750</v>
      </c>
      <c r="E5">
        <v>8254</v>
      </c>
      <c r="F5">
        <v>8656</v>
      </c>
    </row>
    <row r="6" spans="1:6" x14ac:dyDescent="0.3">
      <c r="A6" t="s">
        <v>48</v>
      </c>
      <c r="B6">
        <v>376</v>
      </c>
      <c r="C6">
        <v>889</v>
      </c>
      <c r="D6">
        <v>4373</v>
      </c>
      <c r="E6">
        <v>6803</v>
      </c>
      <c r="F6">
        <v>7578</v>
      </c>
    </row>
    <row r="7" spans="1:6" x14ac:dyDescent="0.3">
      <c r="A7" t="s">
        <v>53</v>
      </c>
      <c r="B7">
        <v>431</v>
      </c>
      <c r="C7">
        <v>6231</v>
      </c>
      <c r="D7">
        <v>7478</v>
      </c>
      <c r="E7">
        <v>8039</v>
      </c>
      <c r="F7">
        <v>8271</v>
      </c>
    </row>
    <row r="8" spans="1:6" x14ac:dyDescent="0.3">
      <c r="A8" t="s">
        <v>47</v>
      </c>
      <c r="B8">
        <v>488</v>
      </c>
      <c r="C8">
        <v>5535</v>
      </c>
      <c r="D8">
        <v>5775</v>
      </c>
      <c r="E8">
        <v>7661</v>
      </c>
      <c r="F8">
        <v>9206</v>
      </c>
    </row>
    <row r="9" spans="1:6" x14ac:dyDescent="0.3">
      <c r="A9" t="s">
        <v>45</v>
      </c>
      <c r="B9">
        <v>742</v>
      </c>
      <c r="C9">
        <v>3751</v>
      </c>
      <c r="D9">
        <v>4423</v>
      </c>
      <c r="E9">
        <v>8733</v>
      </c>
      <c r="F9">
        <v>9909</v>
      </c>
    </row>
    <row r="10" spans="1:6" x14ac:dyDescent="0.3">
      <c r="A10" t="s">
        <v>50</v>
      </c>
      <c r="B10">
        <v>1038</v>
      </c>
      <c r="C10">
        <v>3615</v>
      </c>
      <c r="D10">
        <v>3712</v>
      </c>
      <c r="E10">
        <v>5819</v>
      </c>
      <c r="F10">
        <v>9589</v>
      </c>
    </row>
    <row r="11" spans="1:6" x14ac:dyDescent="0.3">
      <c r="A11" t="s">
        <v>43</v>
      </c>
      <c r="B11">
        <v>1092</v>
      </c>
      <c r="C11">
        <v>3140</v>
      </c>
      <c r="D11">
        <v>4123</v>
      </c>
      <c r="E11">
        <v>4366</v>
      </c>
      <c r="F11">
        <v>9482</v>
      </c>
    </row>
    <row r="12" spans="1:6" x14ac:dyDescent="0.3">
      <c r="A12" t="s">
        <v>52</v>
      </c>
      <c r="B12">
        <v>1290</v>
      </c>
      <c r="C12">
        <v>4033</v>
      </c>
      <c r="D12">
        <v>6956</v>
      </c>
      <c r="E12">
        <v>7929</v>
      </c>
      <c r="F12">
        <v>8834</v>
      </c>
    </row>
    <row r="13" spans="1:6" x14ac:dyDescent="0.3">
      <c r="A13" t="s">
        <v>44</v>
      </c>
      <c r="B13">
        <v>2541</v>
      </c>
      <c r="C13">
        <v>3794</v>
      </c>
      <c r="D13">
        <v>3984</v>
      </c>
      <c r="E13">
        <v>8803</v>
      </c>
      <c r="F13">
        <v>9338</v>
      </c>
    </row>
    <row r="14" spans="1:6" x14ac:dyDescent="0.3">
      <c r="A14" t="s">
        <v>39</v>
      </c>
      <c r="B14">
        <v>2519</v>
      </c>
      <c r="C14">
        <v>3938</v>
      </c>
      <c r="D14">
        <v>5190</v>
      </c>
      <c r="E14">
        <v>8203</v>
      </c>
      <c r="F14">
        <v>8780</v>
      </c>
    </row>
    <row r="15" spans="1:6" x14ac:dyDescent="0.3">
      <c r="A15" t="s">
        <v>42</v>
      </c>
      <c r="B15">
        <v>3297</v>
      </c>
      <c r="C15">
        <v>4866</v>
      </c>
      <c r="D15">
        <v>4928</v>
      </c>
      <c r="E15">
        <v>8451</v>
      </c>
      <c r="F15">
        <v>9585</v>
      </c>
    </row>
    <row r="16" spans="1:6" x14ac:dyDescent="0.3">
      <c r="A16" t="s">
        <v>41</v>
      </c>
      <c r="B16">
        <v>8873</v>
      </c>
      <c r="C16">
        <v>8484</v>
      </c>
      <c r="D16">
        <v>7883</v>
      </c>
      <c r="E16">
        <v>7499</v>
      </c>
      <c r="F16">
        <v>6592</v>
      </c>
    </row>
    <row r="17" spans="1:6" x14ac:dyDescent="0.3">
      <c r="A17" t="s">
        <v>51</v>
      </c>
      <c r="B17">
        <v>8891</v>
      </c>
      <c r="C17">
        <v>5952</v>
      </c>
      <c r="D17">
        <v>5914</v>
      </c>
      <c r="E17">
        <v>5405</v>
      </c>
      <c r="F17">
        <v>4031</v>
      </c>
    </row>
    <row r="18" spans="1:6" x14ac:dyDescent="0.3">
      <c r="A18" t="s">
        <v>46</v>
      </c>
      <c r="B18">
        <v>7703</v>
      </c>
      <c r="C18">
        <v>6957</v>
      </c>
      <c r="D18">
        <v>3898</v>
      </c>
      <c r="E18">
        <v>1857</v>
      </c>
      <c r="F18">
        <v>1512</v>
      </c>
    </row>
    <row r="19" spans="1:6" x14ac:dyDescent="0.3">
      <c r="A19" t="s">
        <v>49</v>
      </c>
      <c r="B19">
        <v>7840</v>
      </c>
      <c r="C19">
        <v>5804</v>
      </c>
      <c r="D19">
        <v>4259</v>
      </c>
      <c r="E19">
        <v>4243</v>
      </c>
      <c r="F19">
        <v>907</v>
      </c>
    </row>
  </sheetData>
  <mergeCells count="1">
    <mergeCell ref="B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461A-7102-4367-B9AA-8532D5ED4CA5}">
  <dimension ref="A1:F19"/>
  <sheetViews>
    <sheetView workbookViewId="0">
      <selection activeCell="A4" sqref="A4:F19"/>
    </sheetView>
  </sheetViews>
  <sheetFormatPr defaultRowHeight="14.4" x14ac:dyDescent="0.3"/>
  <sheetData>
    <row r="1" spans="1:6" ht="18" x14ac:dyDescent="0.35">
      <c r="A1" s="2" t="s">
        <v>140</v>
      </c>
    </row>
    <row r="3" spans="1:6" x14ac:dyDescent="0.3">
      <c r="A3" s="1"/>
      <c r="B3" s="8" t="s">
        <v>257</v>
      </c>
      <c r="C3" s="9"/>
      <c r="D3" s="9"/>
      <c r="E3" s="9"/>
      <c r="F3" s="9"/>
    </row>
    <row r="4" spans="1:6" x14ac:dyDescent="0.3">
      <c r="A4" s="1" t="s">
        <v>0</v>
      </c>
      <c r="B4" s="1">
        <v>2017</v>
      </c>
      <c r="C4" s="1">
        <v>2018</v>
      </c>
      <c r="D4" s="1">
        <v>2019</v>
      </c>
      <c r="E4" s="1">
        <v>2020</v>
      </c>
      <c r="F4" s="1">
        <v>2021</v>
      </c>
    </row>
    <row r="5" spans="1:6" x14ac:dyDescent="0.3">
      <c r="A5" t="s">
        <v>21</v>
      </c>
      <c r="B5">
        <v>24</v>
      </c>
      <c r="C5">
        <v>1797</v>
      </c>
      <c r="D5">
        <v>3548</v>
      </c>
      <c r="E5">
        <v>3668</v>
      </c>
      <c r="F5">
        <v>8592</v>
      </c>
    </row>
    <row r="6" spans="1:6" x14ac:dyDescent="0.3">
      <c r="A6" t="s">
        <v>22</v>
      </c>
      <c r="B6">
        <v>861</v>
      </c>
      <c r="C6">
        <v>1314</v>
      </c>
      <c r="D6">
        <v>1810</v>
      </c>
      <c r="E6">
        <v>6510</v>
      </c>
      <c r="F6">
        <v>9271</v>
      </c>
    </row>
    <row r="7" spans="1:6" x14ac:dyDescent="0.3">
      <c r="A7" t="s">
        <v>12</v>
      </c>
      <c r="B7">
        <v>906</v>
      </c>
      <c r="C7">
        <v>1251</v>
      </c>
      <c r="D7">
        <v>2897</v>
      </c>
      <c r="E7">
        <v>4499</v>
      </c>
      <c r="F7">
        <v>9428</v>
      </c>
    </row>
    <row r="8" spans="1:6" x14ac:dyDescent="0.3">
      <c r="A8" t="s">
        <v>11</v>
      </c>
      <c r="B8">
        <v>1209</v>
      </c>
      <c r="C8">
        <v>1534</v>
      </c>
      <c r="D8">
        <v>1634</v>
      </c>
      <c r="E8">
        <v>4302</v>
      </c>
      <c r="F8">
        <v>9768</v>
      </c>
    </row>
    <row r="9" spans="1:6" x14ac:dyDescent="0.3">
      <c r="A9" t="s">
        <v>16</v>
      </c>
      <c r="B9">
        <v>1581</v>
      </c>
      <c r="C9">
        <v>4799</v>
      </c>
      <c r="D9">
        <v>6582</v>
      </c>
      <c r="E9">
        <v>9024</v>
      </c>
      <c r="F9">
        <v>9759</v>
      </c>
    </row>
    <row r="10" spans="1:6" x14ac:dyDescent="0.3">
      <c r="A10" t="s">
        <v>9</v>
      </c>
      <c r="B10">
        <v>1982</v>
      </c>
      <c r="C10">
        <v>5388</v>
      </c>
      <c r="D10">
        <v>7063</v>
      </c>
      <c r="E10">
        <v>7208</v>
      </c>
      <c r="F10">
        <v>9093</v>
      </c>
    </row>
    <row r="11" spans="1:6" x14ac:dyDescent="0.3">
      <c r="A11" t="s">
        <v>13</v>
      </c>
      <c r="B11">
        <v>1421</v>
      </c>
      <c r="C11">
        <v>1893</v>
      </c>
      <c r="D11">
        <v>2722</v>
      </c>
      <c r="E11">
        <v>4410</v>
      </c>
      <c r="F11">
        <v>5873</v>
      </c>
    </row>
    <row r="12" spans="1:6" x14ac:dyDescent="0.3">
      <c r="A12" t="s">
        <v>18</v>
      </c>
      <c r="B12">
        <v>1530</v>
      </c>
      <c r="C12">
        <v>1620</v>
      </c>
      <c r="D12">
        <v>2027</v>
      </c>
      <c r="E12">
        <v>4881</v>
      </c>
      <c r="F12">
        <v>6002</v>
      </c>
    </row>
    <row r="13" spans="1:6" x14ac:dyDescent="0.3">
      <c r="A13" t="s">
        <v>14</v>
      </c>
      <c r="B13">
        <v>2341</v>
      </c>
      <c r="C13">
        <v>6105</v>
      </c>
      <c r="D13">
        <v>7777</v>
      </c>
      <c r="E13">
        <v>7891</v>
      </c>
      <c r="F13">
        <v>8758</v>
      </c>
    </row>
    <row r="14" spans="1:6" x14ac:dyDescent="0.3">
      <c r="A14" t="s">
        <v>20</v>
      </c>
      <c r="B14">
        <v>1532</v>
      </c>
      <c r="C14">
        <v>2678</v>
      </c>
      <c r="D14">
        <v>4068</v>
      </c>
      <c r="E14">
        <v>4278</v>
      </c>
      <c r="F14">
        <v>5382</v>
      </c>
    </row>
    <row r="15" spans="1:6" x14ac:dyDescent="0.3">
      <c r="A15" t="s">
        <v>10</v>
      </c>
      <c r="B15">
        <v>2786</v>
      </c>
      <c r="C15">
        <v>3804</v>
      </c>
      <c r="D15">
        <v>4121</v>
      </c>
      <c r="E15">
        <v>6210</v>
      </c>
      <c r="F15">
        <v>6909</v>
      </c>
    </row>
    <row r="16" spans="1:6" x14ac:dyDescent="0.3">
      <c r="A16" t="s">
        <v>19</v>
      </c>
      <c r="B16">
        <v>7555</v>
      </c>
      <c r="C16">
        <v>6551</v>
      </c>
      <c r="D16">
        <v>5188</v>
      </c>
      <c r="E16">
        <v>3436</v>
      </c>
      <c r="F16">
        <v>2359</v>
      </c>
    </row>
    <row r="17" spans="1:6" x14ac:dyDescent="0.3">
      <c r="A17" t="s">
        <v>17</v>
      </c>
      <c r="B17">
        <v>9766</v>
      </c>
      <c r="C17">
        <v>8049</v>
      </c>
      <c r="D17">
        <v>5556</v>
      </c>
      <c r="E17">
        <v>5202</v>
      </c>
      <c r="F17">
        <v>2373</v>
      </c>
    </row>
    <row r="18" spans="1:6" x14ac:dyDescent="0.3">
      <c r="A18" t="s">
        <v>23</v>
      </c>
      <c r="B18">
        <v>9058</v>
      </c>
      <c r="C18">
        <v>4839</v>
      </c>
      <c r="D18">
        <v>4776</v>
      </c>
      <c r="E18">
        <v>4024</v>
      </c>
      <c r="F18">
        <v>369</v>
      </c>
    </row>
    <row r="19" spans="1:6" x14ac:dyDescent="0.3">
      <c r="A19" t="s">
        <v>15</v>
      </c>
      <c r="B19">
        <v>9252</v>
      </c>
      <c r="C19">
        <v>8499</v>
      </c>
      <c r="D19">
        <v>991</v>
      </c>
      <c r="E19">
        <v>448</v>
      </c>
      <c r="F19">
        <v>211</v>
      </c>
    </row>
  </sheetData>
  <mergeCells count="1"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Sheet11</vt:lpstr>
      <vt:lpstr>Sheet5</vt:lpstr>
      <vt:lpstr>Sheet7</vt:lpstr>
      <vt:lpstr>Sheet6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Malone</dc:creator>
  <cp:lastModifiedBy>snehasri sai</cp:lastModifiedBy>
  <dcterms:created xsi:type="dcterms:W3CDTF">2022-01-18T02:47:06Z</dcterms:created>
  <dcterms:modified xsi:type="dcterms:W3CDTF">2026-05-10T14:19:16Z</dcterms:modified>
</cp:coreProperties>
</file>